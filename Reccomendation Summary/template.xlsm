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/>
  <workbookPr codeName="ThisWorkbook"/>
  <mc:AlternateContent xmlns:mc="http://schemas.openxmlformats.org/markup-compatibility/2006">
    <mc:Choice Requires="x15">
      <x15ac:absPath xmlns:x15ac="http://schemas.microsoft.com/office/spreadsheetml/2010/11/ac" url="F:\@IICM Secretary\1. Missionary Processing\"/>
    </mc:Choice>
  </mc:AlternateContent>
  <xr:revisionPtr revIDLastSave="0" documentId="13_ncr:1_{C9796B86-34B5-44B6-989A-029FFFEC2A9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resident Sturm's" sheetId="4" r:id="rId1"/>
    <sheet name="Sister Sturm's" sheetId="5" r:id="rId2"/>
    <sheet name="Data Entry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1" l="1"/>
  <c r="D29" i="4" l="1"/>
  <c r="D2" i="5" l="1"/>
  <c r="D2" i="4" l="1"/>
  <c r="D12" i="5" l="1"/>
  <c r="D12" i="4" l="1"/>
  <c r="E12" i="4"/>
  <c r="I16" i="5" l="1"/>
  <c r="I17" i="5"/>
  <c r="I18" i="5"/>
  <c r="I19" i="5"/>
  <c r="I20" i="5"/>
  <c r="I21" i="5"/>
  <c r="D28" i="5"/>
  <c r="D27" i="5"/>
  <c r="D26" i="5"/>
  <c r="D24" i="4"/>
  <c r="I22" i="5" l="1"/>
  <c r="D23" i="5"/>
  <c r="D22" i="5"/>
  <c r="D21" i="5"/>
  <c r="D20" i="5"/>
  <c r="D19" i="5"/>
  <c r="D18" i="5"/>
  <c r="D17" i="5"/>
  <c r="D16" i="5"/>
  <c r="D13" i="5"/>
  <c r="D9" i="5"/>
  <c r="D8" i="5"/>
  <c r="D7" i="5"/>
  <c r="D6" i="5"/>
  <c r="D5" i="5"/>
  <c r="D4" i="5"/>
  <c r="D3" i="5"/>
  <c r="E11" i="4"/>
  <c r="D11" i="4"/>
  <c r="D26" i="4"/>
  <c r="D21" i="4"/>
  <c r="D20" i="4"/>
  <c r="D19" i="4"/>
  <c r="D18" i="4"/>
  <c r="D17" i="4"/>
  <c r="D16" i="4"/>
  <c r="D15" i="4"/>
  <c r="E10" i="4"/>
  <c r="D10" i="4"/>
  <c r="D6" i="4"/>
  <c r="D4" i="4"/>
  <c r="D3" i="4"/>
  <c r="D5" i="4"/>
</calcChain>
</file>

<file path=xl/sharedStrings.xml><?xml version="1.0" encoding="utf-8"?>
<sst xmlns="http://schemas.openxmlformats.org/spreadsheetml/2006/main" count="151" uniqueCount="117">
  <si>
    <t>NAME</t>
  </si>
  <si>
    <t>HOME</t>
  </si>
  <si>
    <t>AGE</t>
  </si>
  <si>
    <t>DOB</t>
  </si>
  <si>
    <t>ARRIVAL</t>
  </si>
  <si>
    <t>Parents</t>
  </si>
  <si>
    <t>PARENTS</t>
  </si>
  <si>
    <t>RESIDES WITH</t>
  </si>
  <si>
    <t>UNIT LEADERS</t>
  </si>
  <si>
    <t>BISHOP</t>
  </si>
  <si>
    <t>STAKE PRES</t>
  </si>
  <si>
    <t>MISSIONARY</t>
  </si>
  <si>
    <t>HEALTH</t>
  </si>
  <si>
    <t>LIMITATIONS</t>
  </si>
  <si>
    <t>BACKGROUND</t>
  </si>
  <si>
    <t>LANGUAGE(S)</t>
  </si>
  <si>
    <t>EDUCATION</t>
  </si>
  <si>
    <t>SEMINARY</t>
  </si>
  <si>
    <t>CALLINGS</t>
  </si>
  <si>
    <t>EXTRA-
CURRICULARS</t>
  </si>
  <si>
    <t>WORK</t>
  </si>
  <si>
    <t>MISSION FINANCE</t>
  </si>
  <si>
    <t>RELATION</t>
  </si>
  <si>
    <t>Father</t>
  </si>
  <si>
    <t>Mother</t>
  </si>
  <si>
    <t>OCCUPATION</t>
  </si>
  <si>
    <t>MISSION</t>
  </si>
  <si>
    <t>MISSIONARY ID</t>
  </si>
  <si>
    <t>MEMBERSHIP RECORD NUMBER</t>
  </si>
  <si>
    <t>MEDICAL ID</t>
  </si>
  <si>
    <t>RELEASE</t>
  </si>
  <si>
    <t>EMAIL</t>
  </si>
  <si>
    <t>HOME PHONE</t>
  </si>
  <si>
    <t>INSURANCE</t>
  </si>
  <si>
    <t>COMPANY</t>
  </si>
  <si>
    <t>POLICYHOLDER</t>
  </si>
  <si>
    <t>GROUP NUMBER</t>
  </si>
  <si>
    <t>POLICYHOLDER'S ID NUMBER</t>
  </si>
  <si>
    <t>MAILING ADDRESS</t>
  </si>
  <si>
    <t>HEIGHT</t>
  </si>
  <si>
    <t>WEIGHT</t>
  </si>
  <si>
    <t>ADDRESS</t>
  </si>
  <si>
    <t>PHONE</t>
  </si>
  <si>
    <t>PHONE NUMBER</t>
  </si>
  <si>
    <t>MISSIONARYID</t>
  </si>
  <si>
    <t>MEMRECORDNUM</t>
  </si>
  <si>
    <t>MEDICALID</t>
  </si>
  <si>
    <t>MTCSTART</t>
  </si>
  <si>
    <t>HOMEADDR</t>
  </si>
  <si>
    <t>HOMEPHONE</t>
  </si>
  <si>
    <t>RESIDESWITH</t>
  </si>
  <si>
    <t>YRSSEMINARY</t>
  </si>
  <si>
    <t>EXTRACURR</t>
  </si>
  <si>
    <t>MISSIONFINANCE</t>
  </si>
  <si>
    <t>UNITLEADERNAME</t>
  </si>
  <si>
    <t>UNITLEADERADDR</t>
  </si>
  <si>
    <t>UNITLEADERPHONE</t>
  </si>
  <si>
    <t>UNITLEADERCOMMENTS</t>
  </si>
  <si>
    <t>STAKEPRESNAME</t>
  </si>
  <si>
    <t>STAKEPRESADDR</t>
  </si>
  <si>
    <t>STAKEPRESEMAIL</t>
  </si>
  <si>
    <t>STAKEPRESPHONE</t>
  </si>
  <si>
    <t>INS_COMPANYNAME</t>
  </si>
  <si>
    <t>INS_POLICYHOLDER</t>
  </si>
  <si>
    <t>INS_DOB</t>
  </si>
  <si>
    <t>INS_GROUPNUM</t>
  </si>
  <si>
    <t>INS_POLICYHOLDERID</t>
  </si>
  <si>
    <t>INS_CITY</t>
  </si>
  <si>
    <t>INS_STATE</t>
  </si>
  <si>
    <t>INS_ZIP</t>
  </si>
  <si>
    <t>INS_PHONENUMBER</t>
  </si>
  <si>
    <t>LANGUAGES</t>
  </si>
  <si>
    <t>UNITLEADEREMAIL</t>
  </si>
  <si>
    <t>STAKEPRESCOMMENTS</t>
  </si>
  <si>
    <t>INS_ADDR</t>
  </si>
  <si>
    <t>UNIT LEADER</t>
  </si>
  <si>
    <t>RELATION / RELATION</t>
  </si>
  <si>
    <t>FATHERNAME / MOTHERNAME</t>
  </si>
  <si>
    <t>FATHERADDR / MOTHERADDR</t>
  </si>
  <si>
    <t>FATHERPHONE / MOTHERPHONE</t>
  </si>
  <si>
    <t>FATHERJOB / MOTHERJOB</t>
  </si>
  <si>
    <t>FATHERMISSION / MOTHERMISSION</t>
  </si>
  <si>
    <t>PREVIOUS</t>
  </si>
  <si>
    <t>CURRENT</t>
  </si>
  <si>
    <t>Self -  0 ; Family -  400 ; Unit -  0 ; other -  0</t>
  </si>
  <si>
    <t>0000082066973</t>
  </si>
  <si>
    <t>BOYER, Allie</t>
  </si>
  <si>
    <t>Coalville, UT</t>
  </si>
  <si>
    <t>(+1) 4353364517</t>
  </si>
  <si>
    <t>Suzanne   Boyer</t>
  </si>
  <si>
    <t>417 Old Farm Lane Coalville, UT 84017</t>
  </si>
  <si>
    <t>IT Director for Summit County</t>
  </si>
  <si>
    <t>Educator</t>
  </si>
  <si>
    <t>Some college |  1 ,  Communication Disorders &amp; Deaf Education ,  Utah State University</t>
  </si>
  <si>
    <t>Salutatorian of my graduating class, sewing, piano, swimming, running, reading, graphic design and photography.</t>
  </si>
  <si>
    <t>Beehive Secretary, Miamaid President, Laurel Counselor</t>
  </si>
  <si>
    <t>Big Canyon Ranch Food Service (3 months) Lifeguard &amp; Swim Instructor (2 years) GAP Inc. Sales Associate (3 years) Mosquito Abatement (2 years)</t>
  </si>
  <si>
    <t>D. Duke Gibson</t>
  </si>
  <si>
    <t>100 Sagewood Way  Coalville UT 84017-6709</t>
  </si>
  <si>
    <t>dukegibson3@att.net</t>
  </si>
  <si>
    <t>1 435-513-2168</t>
  </si>
  <si>
    <t>Allie has a strong testimony and will be able to help many come to the Gospel. She is stronger than I think she herself realizes. I do not know much about her leadership experience as she is the youngest and her other family members have strong personalities, but I believe that she will be a great leader when given the opportunity. She is a hard worker and determined. I believe she will be successful where she is called to serve and in any role given to her.</t>
  </si>
  <si>
    <t>Jeffrey V. Young</t>
  </si>
  <si>
    <t>PO Box 380  Henefer UT 84033</t>
  </si>
  <si>
    <t>jeffyoung@allwest.net</t>
  </si>
  <si>
    <t>1 801-541-0279</t>
  </si>
  <si>
    <t>Allie has a strong testimony and has had a desire to serve a mission for sometime. She is well prepared and will be able to serve wherever she is called.</t>
  </si>
  <si>
    <t>Select Health - IHC</t>
  </si>
  <si>
    <t>Ron Boyer</t>
  </si>
  <si>
    <t>PRXSHC</t>
  </si>
  <si>
    <t>allie.boyer@missionary.org</t>
  </si>
  <si>
    <t>Ronald  Leslie  Boyer</t>
  </si>
  <si>
    <t>English</t>
  </si>
  <si>
    <t>None</t>
  </si>
  <si>
    <t>Hay Fever or Allergies: In the summer. Sneezing, stuffy nose, occasionally itchy eyes. Zyrtec does a good job managing it.</t>
  </si>
  <si>
    <t>Sensitivity to the sun: My skin is pale and I sunburn easily.</t>
  </si>
  <si>
    <t>Acne Requiring Treatment: Not treated with accutane.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</si>
</sst>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&lt;=9999999]###\-####;\(###\)\ ###\-####"/>
  </numFmts>
  <fonts count="20">
    <font>
      <sz val="11"/>
      <color theme="1"/>
      <name val="Calibri"/>
      <family val="2"/>
      <scheme val="minor"/>
    </font>
    <font>
      <b/>
      <u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rgb="FFFF0000"/>
      <name val="Arial"/>
      <family val="2"/>
    </font>
    <font>
      <b/>
      <u/>
      <sz val="10"/>
      <color rgb="FFFF0000"/>
      <name val="Arial"/>
      <family val="2"/>
    </font>
    <font>
      <sz val="10"/>
      <color rgb="FFFF000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9"/>
      <color rgb="FF333333"/>
      <name val="Roboto Slab"/>
    </font>
    <font>
      <b/>
      <sz val="12"/>
      <color rgb="FF333333"/>
      <name val="Open Sans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81">
    <xf numFmtId="0" fontId="0" fillId="0" borderId="0" xfId="0"/>
    <xf numFmtId="0" fontId="3" fillId="0" borderId="0" xfId="0" applyFont="1" applyBorder="1" applyAlignment="1">
      <alignment horizontal="right" vertical="top" wrapText="1"/>
    </xf>
    <xf numFmtId="0" fontId="3" fillId="0" borderId="0" xfId="0" applyFont="1" applyBorder="1" applyAlignment="1">
      <alignment horizontal="right" vertical="top"/>
    </xf>
    <xf numFmtId="0" fontId="1" fillId="0" borderId="0" xfId="0" applyFont="1" applyBorder="1" applyAlignment="1">
      <alignment horizontal="right" vertical="top"/>
    </xf>
    <xf numFmtId="0" fontId="1" fillId="0" borderId="1" xfId="0" applyFont="1" applyBorder="1" applyAlignment="1">
      <alignment horizontal="right" vertical="top"/>
    </xf>
    <xf numFmtId="0" fontId="2" fillId="0" borderId="0" xfId="0" applyFont="1" applyAlignment="1">
      <alignment vertical="top"/>
    </xf>
    <xf numFmtId="0" fontId="2" fillId="0" borderId="0" xfId="0" applyFont="1" applyBorder="1" applyAlignment="1">
      <alignment horizontal="left" vertical="top"/>
    </xf>
    <xf numFmtId="0" fontId="2" fillId="0" borderId="0" xfId="0" applyFont="1" applyBorder="1" applyAlignment="1">
      <alignment vertical="top"/>
    </xf>
    <xf numFmtId="15" fontId="2" fillId="0" borderId="0" xfId="0" applyNumberFormat="1" applyFont="1" applyBorder="1" applyAlignment="1">
      <alignment horizontal="left" vertical="top"/>
    </xf>
    <xf numFmtId="0" fontId="2" fillId="0" borderId="0" xfId="0" applyFont="1" applyBorder="1" applyAlignment="1">
      <alignment horizontal="center" vertical="top"/>
    </xf>
    <xf numFmtId="0" fontId="2" fillId="0" borderId="0" xfId="0" applyFont="1" applyBorder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1" fillId="0" borderId="0" xfId="0" applyFont="1" applyAlignment="1">
      <alignment horizontal="right" vertical="top"/>
    </xf>
    <xf numFmtId="0" fontId="2" fillId="0" borderId="0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center" vertical="top"/>
    </xf>
    <xf numFmtId="0" fontId="2" fillId="0" borderId="0" xfId="0" applyFont="1" applyAlignment="1">
      <alignment horizontal="right" vertical="top"/>
    </xf>
    <xf numFmtId="0" fontId="4" fillId="0" borderId="0" xfId="0" applyFont="1" applyAlignment="1">
      <alignment vertical="top"/>
    </xf>
    <xf numFmtId="0" fontId="5" fillId="0" borderId="0" xfId="0" applyFont="1" applyBorder="1" applyAlignment="1">
      <alignment horizontal="right" vertical="top"/>
    </xf>
    <xf numFmtId="0" fontId="6" fillId="0" borderId="1" xfId="0" applyFont="1" applyBorder="1" applyAlignment="1">
      <alignment horizontal="right" vertical="top"/>
    </xf>
    <xf numFmtId="0" fontId="6" fillId="0" borderId="0" xfId="0" applyFont="1" applyAlignment="1">
      <alignment horizontal="right" vertical="top"/>
    </xf>
    <xf numFmtId="15" fontId="7" fillId="0" borderId="0" xfId="0" applyNumberFormat="1" applyFont="1" applyBorder="1" applyAlignment="1">
      <alignment horizontal="left" vertical="top"/>
    </xf>
    <xf numFmtId="164" fontId="2" fillId="0" borderId="0" xfId="0" applyNumberFormat="1" applyFont="1" applyBorder="1" applyAlignment="1">
      <alignment horizontal="left" vertical="top"/>
    </xf>
    <xf numFmtId="0" fontId="8" fillId="0" borderId="0" xfId="0" applyFont="1" applyAlignment="1">
      <alignment vertical="top"/>
    </xf>
    <xf numFmtId="0" fontId="2" fillId="0" borderId="0" xfId="0" quotePrefix="1" applyFont="1" applyBorder="1" applyAlignment="1">
      <alignment horizontal="left" vertical="top"/>
    </xf>
    <xf numFmtId="0" fontId="2" fillId="0" borderId="3" xfId="0" quotePrefix="1" applyFont="1" applyBorder="1" applyAlignment="1">
      <alignment horizontal="center" vertical="top"/>
    </xf>
    <xf numFmtId="0" fontId="2" fillId="0" borderId="0" xfId="0" applyFont="1" applyAlignment="1">
      <alignment vertical="top" wrapText="1"/>
    </xf>
    <xf numFmtId="0" fontId="0" fillId="0" borderId="0" xfId="0" applyFont="1"/>
    <xf numFmtId="0" fontId="11" fillId="0" borderId="0" xfId="0" applyFont="1" applyBorder="1" applyAlignment="1">
      <alignment horizontal="right" vertical="top"/>
    </xf>
    <xf numFmtId="0" fontId="11" fillId="0" borderId="0" xfId="0" applyFont="1" applyAlignment="1">
      <alignment horizontal="right" vertical="top"/>
    </xf>
    <xf numFmtId="0" fontId="0" fillId="0" borderId="0" xfId="0" applyFont="1" applyAlignment="1">
      <alignment vertical="top"/>
    </xf>
    <xf numFmtId="0" fontId="0" fillId="0" borderId="0" xfId="0" applyFont="1" applyBorder="1" applyAlignment="1">
      <alignment vertical="top"/>
    </xf>
    <xf numFmtId="0" fontId="10" fillId="0" borderId="0" xfId="0" applyFont="1" applyBorder="1" applyAlignment="1">
      <alignment horizontal="right" vertical="top"/>
    </xf>
    <xf numFmtId="15" fontId="0" fillId="0" borderId="0" xfId="0" applyNumberFormat="1" applyFont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0" fillId="0" borderId="0" xfId="0" applyFont="1" applyAlignment="1">
      <alignment horizontal="left" vertical="top"/>
    </xf>
    <xf numFmtId="15" fontId="0" fillId="0" borderId="0" xfId="0" applyNumberFormat="1" applyFont="1" applyAlignment="1">
      <alignment horizontal="left" vertical="top"/>
    </xf>
    <xf numFmtId="0" fontId="12" fillId="0" borderId="0" xfId="0" applyFont="1" applyBorder="1" applyAlignment="1">
      <alignment horizontal="right" vertical="top"/>
    </xf>
    <xf numFmtId="0" fontId="13" fillId="0" borderId="0" xfId="0" applyFont="1" applyAlignment="1">
      <alignment horizontal="right" vertical="top"/>
    </xf>
    <xf numFmtId="15" fontId="9" fillId="0" borderId="0" xfId="0" applyNumberFormat="1" applyFont="1" applyBorder="1" applyAlignment="1">
      <alignment horizontal="left" vertical="top"/>
    </xf>
    <xf numFmtId="0" fontId="0" fillId="0" borderId="0" xfId="0" applyFont="1" applyBorder="1" applyAlignment="1">
      <alignment horizontal="right" vertical="top"/>
    </xf>
    <xf numFmtId="0" fontId="14" fillId="0" borderId="0" xfId="0" applyFont="1" applyAlignment="1">
      <alignment vertical="top"/>
    </xf>
    <xf numFmtId="0" fontId="0" fillId="0" borderId="0" xfId="0" applyFont="1" applyBorder="1" applyAlignment="1">
      <alignment horizontal="center" vertical="top" wrapText="1"/>
    </xf>
    <xf numFmtId="0" fontId="0" fillId="0" borderId="2" xfId="0" applyFont="1" applyBorder="1" applyAlignment="1">
      <alignment horizontal="center" vertical="top" wrapText="1"/>
    </xf>
    <xf numFmtId="164" fontId="0" fillId="0" borderId="3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2" xfId="0" applyFont="1" applyBorder="1" applyAlignment="1">
      <alignment horizontal="center" vertical="top"/>
    </xf>
    <xf numFmtId="0" fontId="0" fillId="0" borderId="0" xfId="0" applyFont="1" applyBorder="1" applyAlignment="1">
      <alignment vertical="top" wrapText="1"/>
    </xf>
    <xf numFmtId="164" fontId="0" fillId="0" borderId="0" xfId="0" applyNumberFormat="1" applyFont="1" applyBorder="1" applyAlignment="1">
      <alignment vertical="top"/>
    </xf>
    <xf numFmtId="0" fontId="0" fillId="0" borderId="0" xfId="0" applyFont="1" applyBorder="1" applyAlignment="1">
      <alignment horizontal="left" vertical="top" wrapText="1"/>
    </xf>
    <xf numFmtId="49" fontId="0" fillId="0" borderId="0" xfId="0" applyNumberFormat="1" applyFont="1" applyAlignment="1">
      <alignment horizontal="left" vertical="top"/>
    </xf>
    <xf numFmtId="49" fontId="2" fillId="0" borderId="0" xfId="0" applyNumberFormat="1" applyFont="1" applyBorder="1" applyAlignment="1">
      <alignment horizontal="left" vertical="top"/>
    </xf>
    <xf numFmtId="0" fontId="16" fillId="0" borderId="0" xfId="0" applyFont="1" applyBorder="1" applyAlignment="1">
      <alignment horizontal="right" vertical="top"/>
    </xf>
    <xf numFmtId="0" fontId="17" fillId="0" borderId="0" xfId="0" applyFont="1" applyAlignment="1">
      <alignment vertical="top"/>
    </xf>
    <xf numFmtId="164" fontId="0" fillId="0" borderId="0" xfId="0" applyNumberFormat="1" applyAlignment="1">
      <alignment horizontal="left"/>
    </xf>
    <xf numFmtId="164" fontId="2" fillId="0" borderId="0" xfId="0" quotePrefix="1" applyNumberFormat="1" applyFont="1" applyBorder="1" applyAlignment="1">
      <alignment horizontal="left" vertical="top"/>
    </xf>
    <xf numFmtId="0" fontId="0" fillId="0" borderId="3" xfId="0" applyBorder="1" applyAlignment="1">
      <alignment horizontal="center"/>
    </xf>
    <xf numFmtId="0" fontId="2" fillId="0" borderId="0" xfId="0" quotePrefix="1" applyFont="1" applyBorder="1" applyAlignment="1">
      <alignment horizontal="center" vertical="top" wrapText="1"/>
    </xf>
    <xf numFmtId="0" fontId="3" fillId="0" borderId="0" xfId="0" applyFont="1" applyAlignment="1">
      <alignment horizontal="right" vertical="top"/>
    </xf>
    <xf numFmtId="0" fontId="10" fillId="0" borderId="0" xfId="0" applyFont="1" applyAlignment="1">
      <alignment horizontal="right" vertical="top"/>
    </xf>
    <xf numFmtId="0" fontId="10" fillId="0" borderId="1" xfId="0" applyFont="1" applyBorder="1" applyAlignment="1">
      <alignment horizontal="right" vertical="top"/>
    </xf>
    <xf numFmtId="0" fontId="12" fillId="0" borderId="1" xfId="0" applyFont="1" applyBorder="1" applyAlignment="1">
      <alignment horizontal="right" vertical="top"/>
    </xf>
    <xf numFmtId="0" fontId="3" fillId="0" borderId="1" xfId="0" applyFont="1" applyBorder="1" applyAlignment="1">
      <alignment horizontal="right" vertical="top"/>
    </xf>
    <xf numFmtId="0" fontId="2" fillId="0" borderId="0" xfId="0" applyFont="1" applyAlignment="1">
      <alignment horizontal="left" vertical="top" wrapText="1"/>
    </xf>
    <xf numFmtId="0" fontId="0" fillId="0" borderId="0" xfId="0" quotePrefix="1" applyFont="1" applyBorder="1" applyAlignment="1">
      <alignment horizontal="left" vertical="top"/>
    </xf>
    <xf numFmtId="15" fontId="9" fillId="0" borderId="0" xfId="0" applyNumberFormat="1" applyFont="1" applyAlignment="1">
      <alignment horizontal="left" vertical="top"/>
    </xf>
    <xf numFmtId="0" fontId="2" fillId="0" borderId="0" xfId="0" applyFont="1" applyAlignment="1">
      <alignment horizontal="left" vertical="top"/>
    </xf>
    <xf numFmtId="15" fontId="2" fillId="0" borderId="0" xfId="0" applyNumberFormat="1" applyFont="1" applyBorder="1" applyAlignment="1">
      <alignment vertical="top" wrapText="1"/>
    </xf>
    <xf numFmtId="15" fontId="2" fillId="0" borderId="0" xfId="0" applyNumberFormat="1" applyFont="1" applyBorder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Alignment="1"/>
    <xf numFmtId="0" fontId="15" fillId="0" borderId="0" xfId="1" applyFill="1" applyAlignment="1"/>
    <xf numFmtId="0" fontId="2" fillId="0" borderId="0" xfId="0" applyFont="1" applyAlignment="1">
      <alignment horizontal="left" vertical="top" wrapText="1"/>
    </xf>
    <xf numFmtId="0" fontId="0" fillId="0" borderId="0" xfId="0" applyFont="1" applyFill="1" applyBorder="1" applyAlignment="1">
      <alignment vertical="top"/>
    </xf>
    <xf numFmtId="0" fontId="0" fillId="0" borderId="3" xfId="0" applyFont="1" applyBorder="1" applyAlignment="1">
      <alignment horizontal="center" vertical="top" wrapText="1"/>
    </xf>
    <xf numFmtId="0" fontId="0" fillId="0" borderId="0" xfId="0" applyAlignment="1">
      <alignment horizontal="left"/>
    </xf>
    <xf numFmtId="0" fontId="15" fillId="0" borderId="0" xfId="1"/>
    <xf numFmtId="0" fontId="2" fillId="0" borderId="3" xfId="0" applyFont="1" applyBorder="1" applyAlignment="1">
      <alignment horizontal="center" vertical="top" wrapText="1"/>
    </xf>
    <xf numFmtId="0" fontId="2" fillId="0" borderId="0" xfId="0" applyFont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center" wrapText="1"/>
    </xf>
    <xf numFmtId="0" fontId="19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273987</xdr:colOff>
      <xdr:row>0</xdr:row>
      <xdr:rowOff>28458</xdr:rowOff>
    </xdr:from>
    <xdr:to>
      <xdr:col>7</xdr:col>
      <xdr:colOff>736292</xdr:colOff>
      <xdr:row>10</xdr:row>
      <xdr:rowOff>21884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8C1007C-BE3E-4704-A8FA-A2F770A425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375340" y="28458"/>
          <a:ext cx="1470834" cy="176395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929248</xdr:colOff>
      <xdr:row>1</xdr:row>
      <xdr:rowOff>32220</xdr:rowOff>
    </xdr:from>
    <xdr:to>
      <xdr:col>8</xdr:col>
      <xdr:colOff>1133101</xdr:colOff>
      <xdr:row>11</xdr:row>
      <xdr:rowOff>15812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1BE56F-0FDB-4EA0-A76C-48A9483284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234983" y="189102"/>
          <a:ext cx="1481324" cy="1776534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tdherget@gmail.com" TargetMode="External"/><Relationship Id="rId1" Type="http://schemas.openxmlformats.org/officeDocument/2006/relationships/hyperlink" Target="mailto:matthew.poulter@linklater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10C07-F65A-44B2-974D-E60865CC2FAA}">
  <sheetPr codeName="Sheet2"/>
  <dimension ref="A1:I74"/>
  <sheetViews>
    <sheetView tabSelected="1" view="pageLayout" zoomScale="85" zoomScaleNormal="100" zoomScalePageLayoutView="85" workbookViewId="0">
      <selection activeCell="D18" sqref="D18:H18"/>
    </sheetView>
  </sheetViews>
  <sheetFormatPr defaultColWidth="9.140625" defaultRowHeight="12.75"/>
  <cols>
    <col min="1" max="1" width="16.28515625" style="2" customWidth="1"/>
    <col min="2" max="3" width="0.7109375" style="2" customWidth="1"/>
    <col min="4" max="4" width="23.5703125" style="5" bestFit="1" customWidth="1"/>
    <col min="5" max="5" width="16.28515625" style="5" customWidth="1"/>
    <col min="6" max="6" width="4.85546875" style="5" customWidth="1"/>
    <col min="7" max="7" width="9.140625" style="5" customWidth="1"/>
    <col min="8" max="8" width="17.140625" style="5" customWidth="1"/>
    <col min="9" max="9" width="0.5703125" style="5" customWidth="1"/>
    <col min="10" max="16384" width="9.140625" style="5"/>
  </cols>
  <sheetData>
    <row r="1" spans="1:6">
      <c r="A1" s="3" t="s">
        <v>11</v>
      </c>
      <c r="B1" s="4"/>
      <c r="C1" s="12"/>
      <c r="D1" s="16"/>
      <c r="E1" s="16"/>
    </row>
    <row r="2" spans="1:6">
      <c r="A2" s="2" t="s">
        <v>0</v>
      </c>
      <c r="B2" s="4"/>
      <c r="C2" s="12"/>
      <c r="D2" s="6" t="str">
        <f>'Data Entry'!D12</f>
        <v>BOYER, Allie</v>
      </c>
      <c r="E2" s="6"/>
      <c r="F2" s="7"/>
    </row>
    <row r="3" spans="1:6">
      <c r="A3" s="2" t="s">
        <v>1</v>
      </c>
      <c r="B3" s="4"/>
      <c r="C3" s="12"/>
      <c r="D3" s="23" t="str">
        <f>'Data Entry'!D13</f>
        <v>Coalville, UT</v>
      </c>
      <c r="E3" s="6"/>
      <c r="F3" s="7"/>
    </row>
    <row r="4" spans="1:6">
      <c r="A4" s="2" t="s">
        <v>32</v>
      </c>
      <c r="B4" s="4"/>
      <c r="C4" s="12"/>
      <c r="D4" s="54" t="str">
        <f>'Data Entry'!D14</f>
        <v>(+1) 4353364517</v>
      </c>
      <c r="E4" s="6"/>
      <c r="F4" s="7"/>
    </row>
    <row r="5" spans="1:6">
      <c r="A5" s="2" t="s">
        <v>2</v>
      </c>
      <c r="B5" s="4"/>
      <c r="C5" s="12"/>
      <c r="D5" s="23">
        <f>'Data Entry'!D15</f>
        <v>19</v>
      </c>
      <c r="E5" s="7"/>
      <c r="F5" s="7"/>
    </row>
    <row r="6" spans="1:6">
      <c r="A6" s="2" t="s">
        <v>7</v>
      </c>
      <c r="B6" s="4"/>
      <c r="C6" s="12"/>
      <c r="D6" s="23" t="str">
        <f>'Data Entry'!D16</f>
        <v>Parents</v>
      </c>
    </row>
    <row r="7" spans="1:6">
      <c r="B7" s="3"/>
      <c r="C7" s="12"/>
      <c r="D7" s="7"/>
    </row>
    <row r="8" spans="1:6">
      <c r="A8" s="3" t="s">
        <v>6</v>
      </c>
      <c r="B8" s="4"/>
      <c r="C8" s="12"/>
      <c r="E8" s="7"/>
      <c r="F8" s="7"/>
    </row>
    <row r="9" spans="1:6" ht="15" customHeight="1">
      <c r="A9" s="2" t="s">
        <v>22</v>
      </c>
      <c r="B9" s="4"/>
      <c r="C9" s="12"/>
      <c r="D9" s="10" t="s">
        <v>23</v>
      </c>
      <c r="E9" s="11" t="s">
        <v>24</v>
      </c>
      <c r="F9" s="7"/>
    </row>
    <row r="10" spans="1:6" ht="25.5" customHeight="1">
      <c r="A10" s="2" t="s">
        <v>0</v>
      </c>
      <c r="B10" s="4"/>
      <c r="C10" s="12"/>
      <c r="D10" s="24" t="str">
        <f>'Data Entry'!D20</f>
        <v>Ronald  Leslie  Boyer</v>
      </c>
      <c r="E10" s="56" t="str">
        <f>'Data Entry'!E20</f>
        <v>Suzanne   Boyer</v>
      </c>
      <c r="F10" s="7"/>
    </row>
    <row r="11" spans="1:6">
      <c r="A11" s="2" t="s">
        <v>25</v>
      </c>
      <c r="B11" s="4"/>
      <c r="C11" s="12"/>
      <c r="D11" s="76" t="str">
        <f>'Data Entry'!D23</f>
        <v>IT Director for Summit County</v>
      </c>
      <c r="E11" s="10" t="str">
        <f>'Data Entry'!E23</f>
        <v>Educator</v>
      </c>
      <c r="F11" s="7"/>
    </row>
    <row r="12" spans="1:6">
      <c r="A12" s="2" t="s">
        <v>26</v>
      </c>
      <c r="B12" s="4"/>
      <c r="C12" s="12"/>
      <c r="D12" s="14" t="str">
        <f>IF(ISBLANK('Data Entry'!D24),"",'Data Entry'!D24)</f>
        <v/>
      </c>
      <c r="E12" s="6" t="str">
        <f>IF(ISBLANK('Data Entry'!E24),"",'Data Entry'!E24)</f>
        <v/>
      </c>
      <c r="F12" s="7"/>
    </row>
    <row r="13" spans="1:6">
      <c r="D13" s="9"/>
      <c r="E13" s="9"/>
      <c r="F13" s="7"/>
    </row>
    <row r="14" spans="1:6">
      <c r="A14" s="3" t="s">
        <v>14</v>
      </c>
      <c r="B14" s="4"/>
      <c r="C14" s="12"/>
    </row>
    <row r="15" spans="1:6">
      <c r="A15" s="2" t="s">
        <v>15</v>
      </c>
      <c r="B15" s="4"/>
      <c r="C15" s="12"/>
      <c r="D15" s="5" t="str">
        <f>'Data Entry'!D27</f>
        <v>English</v>
      </c>
    </row>
    <row r="16" spans="1:6">
      <c r="A16" s="2" t="s">
        <v>17</v>
      </c>
      <c r="B16" s="4"/>
      <c r="C16" s="12"/>
      <c r="D16" s="65">
        <f>'Data Entry'!D28</f>
        <v>4</v>
      </c>
    </row>
    <row r="17" spans="1:9">
      <c r="A17" s="2" t="s">
        <v>16</v>
      </c>
      <c r="B17" s="4"/>
      <c r="C17" s="12"/>
      <c r="D17" s="5" t="str">
        <f>'Data Entry'!D29</f>
        <v>Some college |  1 ,  Communication Disorders &amp; Deaf Education ,  Utah State University</v>
      </c>
    </row>
    <row r="18" spans="1:9" ht="25.5">
      <c r="A18" s="1" t="s">
        <v>19</v>
      </c>
      <c r="B18" s="4"/>
      <c r="C18" s="12"/>
      <c r="D18" s="77" t="str">
        <f>'Data Entry'!D30</f>
        <v>Salutatorian of my graduating class, sewing, piano, swimming, running, reading, graphic design and photography.</v>
      </c>
      <c r="E18" s="77"/>
      <c r="F18" s="77"/>
      <c r="G18" s="77"/>
      <c r="H18" s="77"/>
    </row>
    <row r="19" spans="1:9">
      <c r="A19" s="2" t="s">
        <v>18</v>
      </c>
      <c r="B19" s="4"/>
      <c r="C19" s="12"/>
      <c r="D19" s="77" t="str">
        <f>'Data Entry'!D31</f>
        <v>Beehive Secretary, Miamaid President, Laurel Counselor</v>
      </c>
      <c r="E19" s="77"/>
      <c r="F19" s="77"/>
      <c r="G19" s="77"/>
      <c r="H19" s="77"/>
    </row>
    <row r="20" spans="1:9">
      <c r="A20" s="2" t="s">
        <v>20</v>
      </c>
      <c r="B20" s="4"/>
      <c r="C20" s="12"/>
      <c r="D20" s="77" t="str">
        <f>'Data Entry'!D32</f>
        <v>Big Canyon Ranch Food Service (3 months) Lifeguard &amp; Swim Instructor (2 years) GAP Inc. Sales Associate (3 years) Mosquito Abatement (2 years)</v>
      </c>
      <c r="E20" s="77"/>
      <c r="F20" s="77"/>
      <c r="G20" s="77"/>
      <c r="H20" s="77"/>
    </row>
    <row r="21" spans="1:9">
      <c r="A21" s="2" t="s">
        <v>21</v>
      </c>
      <c r="B21" s="4"/>
      <c r="C21" s="12"/>
      <c r="D21" s="5" t="str">
        <f>'Data Entry'!D33</f>
        <v>Self -  0 ; Family -  400 ; Unit -  0 ; other -  0</v>
      </c>
    </row>
    <row r="22" spans="1:9">
      <c r="D22" s="7"/>
      <c r="E22" s="7"/>
      <c r="F22" s="7"/>
    </row>
    <row r="23" spans="1:9">
      <c r="A23" s="3" t="s">
        <v>8</v>
      </c>
      <c r="B23" s="4"/>
      <c r="C23" s="12"/>
      <c r="D23" s="7"/>
      <c r="E23" s="7"/>
      <c r="F23" s="7"/>
    </row>
    <row r="24" spans="1:9" ht="77.25" customHeight="1">
      <c r="A24" s="2" t="s">
        <v>9</v>
      </c>
      <c r="B24" s="4"/>
      <c r="C24" s="12"/>
      <c r="D24" s="78" t="str">
        <f>'Data Entry'!D40</f>
        <v>Allie has a strong testimony and will be able to help many come to the Gospel. She is stronger than I think she herself realizes. I do not know much about her leadership experience as she is the youngest and her other family members have strong personalities, but I believe that she will be a great leader when given the opportunity. She is a hard worker and determined. I believe she will be successful where she is called to serve and in any role given to her.</v>
      </c>
      <c r="E24" s="78"/>
      <c r="F24" s="78"/>
      <c r="G24" s="78"/>
      <c r="H24" s="78"/>
    </row>
    <row r="25" spans="1:9">
      <c r="B25" s="4"/>
      <c r="C25" s="12"/>
      <c r="D25" s="7"/>
      <c r="E25" s="7"/>
      <c r="F25" s="7"/>
    </row>
    <row r="26" spans="1:9" ht="25.5" customHeight="1">
      <c r="A26" s="2" t="s">
        <v>10</v>
      </c>
      <c r="B26" s="4"/>
      <c r="C26" s="12"/>
      <c r="D26" s="78" t="str">
        <f>'Data Entry'!D45</f>
        <v>Allie has a strong testimony and has had a desire to serve a mission for sometime. She is well prepared and will be able to serve wherever she is called.</v>
      </c>
      <c r="E26" s="78"/>
      <c r="F26" s="78"/>
      <c r="G26" s="78"/>
      <c r="H26" s="78"/>
    </row>
    <row r="27" spans="1:9">
      <c r="D27" s="7"/>
      <c r="E27" s="7"/>
      <c r="F27" s="7"/>
    </row>
    <row r="28" spans="1:9">
      <c r="A28" s="3" t="s">
        <v>12</v>
      </c>
      <c r="B28" s="4"/>
      <c r="C28" s="12"/>
      <c r="D28" s="7"/>
      <c r="E28" s="7"/>
      <c r="F28" s="7"/>
    </row>
    <row r="29" spans="1:9">
      <c r="A29" s="2" t="s">
        <v>13</v>
      </c>
      <c r="B29" s="4"/>
      <c r="C29" s="12"/>
      <c r="D29" s="5" t="str">
        <f>'Data Entry'!D62</f>
        <v>None</v>
      </c>
    </row>
    <row r="30" spans="1:9" ht="30" customHeight="1">
      <c r="A30" s="57" t="s">
        <v>83</v>
      </c>
      <c r="B30" s="61"/>
      <c r="C30" s="12"/>
      <c r="D30" s="77" t="s">
        <v>114</v>
      </c>
      <c r="E30" s="77"/>
      <c r="F30" s="77"/>
      <c r="G30" s="77"/>
      <c r="H30" s="77"/>
      <c r="I30" s="77"/>
    </row>
    <row r="31" spans="1:9">
      <c r="A31" s="57"/>
      <c r="B31" s="61"/>
      <c r="C31" s="12"/>
      <c r="D31" s="5" t="s">
        <v>115</v>
      </c>
    </row>
    <row r="32" spans="1:9">
      <c r="A32" s="57" t="s">
        <v>82</v>
      </c>
      <c r="B32" s="61"/>
      <c r="C32" s="12"/>
      <c r="D32" s="5" t="s">
        <v>116</v>
      </c>
    </row>
    <row r="33" spans="1:3">
      <c r="A33" s="15"/>
      <c r="B33" s="7"/>
      <c r="C33" s="7"/>
    </row>
    <row r="34" spans="1:3">
      <c r="A34" s="15"/>
      <c r="B34" s="7"/>
      <c r="C34" s="7"/>
    </row>
    <row r="35" spans="1:3">
      <c r="A35" s="15"/>
      <c r="B35" s="7"/>
      <c r="C35" s="7"/>
    </row>
    <row r="36" spans="1:3">
      <c r="A36" s="15"/>
      <c r="B36" s="7"/>
      <c r="C36" s="7"/>
    </row>
    <row r="37" spans="1:3">
      <c r="A37" s="15"/>
      <c r="B37" s="7"/>
      <c r="C37" s="7"/>
    </row>
    <row r="38" spans="1:3">
      <c r="A38" s="15"/>
      <c r="B38" s="7"/>
      <c r="C38" s="7"/>
    </row>
    <row r="39" spans="1:3">
      <c r="A39" s="15"/>
      <c r="B39" s="7"/>
      <c r="C39" s="7"/>
    </row>
    <row r="40" spans="1:3">
      <c r="A40" s="15"/>
      <c r="B40" s="7"/>
      <c r="C40" s="7"/>
    </row>
    <row r="41" spans="1:3">
      <c r="A41" s="15"/>
      <c r="B41" s="7"/>
      <c r="C41" s="7"/>
    </row>
    <row r="42" spans="1:3">
      <c r="A42" s="15"/>
      <c r="B42" s="7"/>
      <c r="C42" s="7"/>
    </row>
    <row r="43" spans="1:3">
      <c r="A43" s="15"/>
      <c r="B43" s="7"/>
      <c r="C43" s="7"/>
    </row>
    <row r="44" spans="1:3">
      <c r="A44" s="15"/>
      <c r="B44" s="7"/>
      <c r="C44" s="7"/>
    </row>
    <row r="45" spans="1:3">
      <c r="A45" s="15"/>
      <c r="B45" s="7"/>
      <c r="C45" s="7"/>
    </row>
    <row r="46" spans="1:3">
      <c r="A46" s="15"/>
      <c r="B46" s="7"/>
      <c r="C46" s="7"/>
    </row>
    <row r="47" spans="1:3">
      <c r="A47" s="15"/>
      <c r="B47" s="7"/>
      <c r="C47" s="7"/>
    </row>
    <row r="48" spans="1:3">
      <c r="A48" s="15"/>
      <c r="B48" s="7"/>
      <c r="C48" s="7"/>
    </row>
    <row r="49" spans="1:3">
      <c r="A49" s="15"/>
      <c r="B49" s="7"/>
      <c r="C49" s="7"/>
    </row>
    <row r="50" spans="1:3">
      <c r="A50" s="15"/>
      <c r="B50" s="7"/>
      <c r="C50" s="7"/>
    </row>
    <row r="51" spans="1:3">
      <c r="A51" s="15"/>
      <c r="B51" s="7"/>
      <c r="C51" s="7"/>
    </row>
    <row r="52" spans="1:3">
      <c r="A52" s="15"/>
      <c r="B52" s="7"/>
      <c r="C52" s="7"/>
    </row>
    <row r="53" spans="1:3">
      <c r="A53" s="15"/>
      <c r="B53" s="7"/>
      <c r="C53" s="7"/>
    </row>
    <row r="54" spans="1:3">
      <c r="A54" s="15"/>
      <c r="B54" s="7"/>
      <c r="C54" s="7"/>
    </row>
    <row r="55" spans="1:3">
      <c r="A55" s="15"/>
      <c r="B55" s="7"/>
      <c r="C55" s="7"/>
    </row>
    <row r="56" spans="1:3">
      <c r="A56" s="15"/>
      <c r="B56" s="7"/>
      <c r="C56" s="7"/>
    </row>
    <row r="57" spans="1:3">
      <c r="A57" s="15"/>
      <c r="B57" s="7"/>
      <c r="C57" s="7"/>
    </row>
    <row r="58" spans="1:3">
      <c r="A58" s="15"/>
      <c r="B58" s="7"/>
      <c r="C58" s="7"/>
    </row>
    <row r="59" spans="1:3">
      <c r="A59" s="15"/>
      <c r="B59" s="7"/>
      <c r="C59" s="7"/>
    </row>
    <row r="60" spans="1:3">
      <c r="A60" s="15"/>
      <c r="B60" s="7"/>
      <c r="C60" s="7"/>
    </row>
    <row r="61" spans="1:3">
      <c r="A61" s="15"/>
      <c r="B61" s="7"/>
      <c r="C61" s="7"/>
    </row>
    <row r="62" spans="1:3">
      <c r="A62" s="15"/>
      <c r="B62" s="7"/>
      <c r="C62" s="7"/>
    </row>
    <row r="63" spans="1:3">
      <c r="A63" s="15"/>
      <c r="B63" s="7"/>
      <c r="C63" s="7"/>
    </row>
    <row r="64" spans="1:3">
      <c r="A64" s="15"/>
      <c r="B64" s="7"/>
      <c r="C64" s="7"/>
    </row>
    <row r="65" spans="1:3">
      <c r="A65" s="15"/>
      <c r="B65" s="7"/>
      <c r="C65" s="7"/>
    </row>
    <row r="66" spans="1:3">
      <c r="A66" s="15"/>
      <c r="B66" s="7"/>
      <c r="C66" s="7"/>
    </row>
    <row r="67" spans="1:3">
      <c r="A67" s="15"/>
      <c r="B67" s="7"/>
      <c r="C67" s="7"/>
    </row>
    <row r="68" spans="1:3">
      <c r="A68" s="15"/>
      <c r="B68" s="7"/>
      <c r="C68" s="7"/>
    </row>
    <row r="69" spans="1:3">
      <c r="A69" s="15"/>
      <c r="B69" s="7"/>
      <c r="C69" s="7"/>
    </row>
    <row r="70" spans="1:3">
      <c r="A70" s="15"/>
      <c r="B70" s="7"/>
      <c r="C70" s="7"/>
    </row>
    <row r="71" spans="1:3">
      <c r="A71" s="15"/>
      <c r="B71" s="7"/>
      <c r="C71" s="7"/>
    </row>
    <row r="72" spans="1:3">
      <c r="A72" s="15"/>
      <c r="B72" s="7"/>
      <c r="C72" s="7"/>
    </row>
    <row r="73" spans="1:3">
      <c r="A73" s="15"/>
      <c r="B73" s="7"/>
      <c r="C73" s="7"/>
    </row>
    <row r="74" spans="1:3">
      <c r="A74" s="15"/>
      <c r="B74" s="7"/>
      <c r="C74" s="7"/>
    </row>
  </sheetData>
  <mergeCells count="6">
    <mergeCell ref="D18:H18"/>
    <mergeCell ref="D19:H19"/>
    <mergeCell ref="D20:H20"/>
    <mergeCell ref="D24:H24"/>
    <mergeCell ref="D26:H26"/>
    <mergeCell ref="D30:I30"/>
  </mergeCells>
  <pageMargins left="0.7" right="0.7" top="0.75" bottom="0.75" header="0.3" footer="0.3"/>
  <pageSetup orientation="portrait" r:id="rId1"/>
  <headerFooter>
    <oddHeader>&amp;C&amp;"Arial,Bold"&amp;12SEPT 9 ARRIVAL&amp;RPresident's Summary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3F558-3C68-4918-89C2-28B67D85DBD2}">
  <sheetPr codeName="Sheet3"/>
  <dimension ref="A1:I72"/>
  <sheetViews>
    <sheetView view="pageLayout" zoomScale="85" zoomScaleNormal="100" zoomScalePageLayoutView="85" workbookViewId="0">
      <selection activeCell="F30" sqref="F30"/>
    </sheetView>
  </sheetViews>
  <sheetFormatPr defaultColWidth="9.140625" defaultRowHeight="12.75"/>
  <cols>
    <col min="1" max="1" width="17" style="2" customWidth="1"/>
    <col min="2" max="3" width="0.7109375" style="2" customWidth="1"/>
    <col min="4" max="4" width="18.42578125" style="5" customWidth="1"/>
    <col min="5" max="5" width="9.42578125" style="5" customWidth="1"/>
    <col min="6" max="6" width="16.85546875" style="5" customWidth="1"/>
    <col min="7" max="8" width="0.5703125" style="5" customWidth="1"/>
    <col min="9" max="9" width="25.85546875" style="5" customWidth="1"/>
    <col min="10" max="16384" width="9.140625" style="5"/>
  </cols>
  <sheetData>
    <row r="1" spans="1:9">
      <c r="A1" s="3" t="s">
        <v>11</v>
      </c>
      <c r="B1" s="4"/>
      <c r="C1" s="12"/>
      <c r="E1" s="7"/>
      <c r="F1" s="7"/>
    </row>
    <row r="2" spans="1:9">
      <c r="A2" s="2" t="s">
        <v>0</v>
      </c>
      <c r="B2" s="4"/>
      <c r="C2" s="12"/>
      <c r="D2" s="6" t="str">
        <f>'Data Entry'!D12</f>
        <v>BOYER, Allie</v>
      </c>
      <c r="E2" s="22"/>
      <c r="F2" s="7"/>
    </row>
    <row r="3" spans="1:9" ht="27" customHeight="1">
      <c r="A3" s="1" t="s">
        <v>28</v>
      </c>
      <c r="B3" s="4"/>
      <c r="C3" s="12"/>
      <c r="D3" s="50" t="str">
        <f>'Data Entry'!D5</f>
        <v>0000082066973</v>
      </c>
      <c r="E3" s="7"/>
      <c r="F3" s="7"/>
    </row>
    <row r="4" spans="1:9">
      <c r="A4" s="2" t="s">
        <v>27</v>
      </c>
      <c r="B4" s="4"/>
      <c r="C4" s="12"/>
      <c r="D4" s="50">
        <f>'Data Entry'!D4</f>
        <v>834169</v>
      </c>
      <c r="E4" s="7"/>
      <c r="F4" s="7"/>
    </row>
    <row r="5" spans="1:9">
      <c r="A5" s="2" t="s">
        <v>29</v>
      </c>
      <c r="B5" s="4"/>
      <c r="C5" s="12"/>
      <c r="D5" s="50">
        <f>'Data Entry'!D6</f>
        <v>2426067</v>
      </c>
      <c r="E5" s="7"/>
      <c r="F5" s="7"/>
    </row>
    <row r="6" spans="1:9" ht="15">
      <c r="A6" s="17" t="s">
        <v>4</v>
      </c>
      <c r="B6" s="18"/>
      <c r="C6" s="19"/>
      <c r="D6" s="20">
        <f>'Data Entry'!D8</f>
        <v>44083</v>
      </c>
      <c r="E6" s="6"/>
      <c r="F6" s="7"/>
      <c r="G6"/>
    </row>
    <row r="7" spans="1:9">
      <c r="A7" s="17" t="s">
        <v>30</v>
      </c>
      <c r="B7" s="18"/>
      <c r="C7" s="19"/>
      <c r="D7" s="20">
        <f>'Data Entry'!D9</f>
        <v>44629</v>
      </c>
      <c r="E7" s="7"/>
      <c r="F7" s="7"/>
    </row>
    <row r="8" spans="1:9">
      <c r="A8" s="2" t="s">
        <v>3</v>
      </c>
      <c r="B8" s="4"/>
      <c r="C8" s="12"/>
      <c r="D8" s="8">
        <f>'Data Entry'!D3</f>
        <v>37084</v>
      </c>
      <c r="E8" s="6"/>
      <c r="F8" s="7"/>
    </row>
    <row r="9" spans="1:9">
      <c r="A9" s="2" t="s">
        <v>31</v>
      </c>
      <c r="B9" s="4"/>
      <c r="C9" s="12"/>
      <c r="D9" s="8" t="str">
        <f>'Data Entry'!D2</f>
        <v>allie.boyer@missionary.org</v>
      </c>
      <c r="E9" s="6"/>
      <c r="F9" s="7"/>
    </row>
    <row r="10" spans="1:9">
      <c r="B10" s="3"/>
      <c r="C10" s="12"/>
      <c r="D10" s="7"/>
    </row>
    <row r="11" spans="1:9">
      <c r="A11" s="3" t="s">
        <v>6</v>
      </c>
      <c r="B11" s="4"/>
      <c r="C11" s="12"/>
      <c r="E11" s="7"/>
      <c r="F11" s="7"/>
    </row>
    <row r="12" spans="1:9">
      <c r="A12" s="2" t="s">
        <v>41</v>
      </c>
      <c r="B12" s="4"/>
      <c r="C12" s="12"/>
      <c r="D12" s="67" t="str">
        <f>'Data Entry'!D21</f>
        <v>417 Old Farm Lane Coalville, UT 84017</v>
      </c>
      <c r="E12" s="66"/>
      <c r="F12" s="66"/>
    </row>
    <row r="13" spans="1:9">
      <c r="A13" s="2" t="s">
        <v>42</v>
      </c>
      <c r="B13" s="4"/>
      <c r="C13" s="12"/>
      <c r="D13" s="21">
        <f>'Data Entry'!D22</f>
        <v>0</v>
      </c>
    </row>
    <row r="14" spans="1:9">
      <c r="D14" s="7"/>
      <c r="E14" s="7"/>
      <c r="F14" s="7"/>
    </row>
    <row r="15" spans="1:9">
      <c r="A15" s="3" t="s">
        <v>8</v>
      </c>
      <c r="B15" s="4"/>
      <c r="C15" s="12"/>
      <c r="D15" s="7"/>
      <c r="E15" s="7"/>
      <c r="F15" s="3" t="s">
        <v>33</v>
      </c>
      <c r="G15" s="4"/>
      <c r="H15" s="12"/>
      <c r="I15" s="7"/>
    </row>
    <row r="16" spans="1:9" ht="27" customHeight="1">
      <c r="A16" s="2" t="s">
        <v>75</v>
      </c>
      <c r="B16" s="4"/>
      <c r="C16" s="12"/>
      <c r="D16" s="7" t="str">
        <f>'Data Entry'!D36</f>
        <v>D. Duke Gibson</v>
      </c>
      <c r="E16" s="7"/>
      <c r="F16" s="2" t="s">
        <v>34</v>
      </c>
      <c r="G16" s="4"/>
      <c r="H16" s="12"/>
      <c r="I16" s="25" t="str">
        <f>'Data Entry'!D48</f>
        <v>Select Health - IHC</v>
      </c>
    </row>
    <row r="17" spans="1:9" ht="25.5">
      <c r="B17" s="4"/>
      <c r="C17" s="12"/>
      <c r="D17" s="10" t="str">
        <f>'Data Entry'!D37</f>
        <v>100 Sagewood Way  Coalville UT 84017-6709</v>
      </c>
      <c r="E17" s="7"/>
      <c r="F17" s="2" t="s">
        <v>35</v>
      </c>
      <c r="G17" s="4"/>
      <c r="H17" s="12"/>
      <c r="I17" s="25" t="str">
        <f>IF(ISBLANK('Data Entry'!D49),"No Policyholder Listed",'Data Entry'!D49)</f>
        <v>Ron Boyer</v>
      </c>
    </row>
    <row r="18" spans="1:9">
      <c r="B18" s="4"/>
      <c r="C18" s="12"/>
      <c r="D18" s="7" t="str">
        <f>'Data Entry'!D39</f>
        <v>1 435-513-2168</v>
      </c>
      <c r="E18" s="7"/>
      <c r="F18" s="2" t="s">
        <v>3</v>
      </c>
      <c r="G18" s="4"/>
      <c r="H18" s="12"/>
      <c r="I18" s="8">
        <f>IF(ISBLANK('Data Entry'!D50),"No DOB Listed",'Data Entry'!D50)</f>
        <v>25527</v>
      </c>
    </row>
    <row r="19" spans="1:9">
      <c r="B19" s="4"/>
      <c r="C19" s="12"/>
      <c r="D19" s="7" t="str">
        <f>'Data Entry'!D38</f>
        <v>dukegibson3@att.net</v>
      </c>
      <c r="E19" s="7"/>
      <c r="F19" s="2" t="s">
        <v>36</v>
      </c>
      <c r="G19" s="4"/>
      <c r="H19" s="12"/>
      <c r="I19" s="71" t="str">
        <f>IF(ISBLANK('Data Entry'!D51),"No Group Number Listed",'Data Entry'!D51)</f>
        <v>PRXSHC</v>
      </c>
    </row>
    <row r="20" spans="1:9" ht="25.5">
      <c r="A20" s="2" t="s">
        <v>10</v>
      </c>
      <c r="B20" s="4"/>
      <c r="C20" s="12"/>
      <c r="D20" s="7" t="str">
        <f>'Data Entry'!D41</f>
        <v>Jeffrey V. Young</v>
      </c>
      <c r="E20" s="13"/>
      <c r="F20" s="1" t="s">
        <v>37</v>
      </c>
      <c r="G20" s="4"/>
      <c r="H20" s="12"/>
      <c r="I20" s="62">
        <f>IF(ISBLANK('Data Entry'!D52),"No ID Listed",'Data Entry'!D52)</f>
        <v>800280956</v>
      </c>
    </row>
    <row r="21" spans="1:9" ht="25.5">
      <c r="B21" s="4"/>
      <c r="C21" s="12"/>
      <c r="D21" s="10" t="str">
        <f>'Data Entry'!D42</f>
        <v>PO Box 380  Henefer UT 84033</v>
      </c>
      <c r="E21" s="7"/>
      <c r="F21" s="2" t="s">
        <v>38</v>
      </c>
      <c r="G21" s="4"/>
      <c r="H21" s="12"/>
      <c r="I21" s="25" t="str">
        <f>IF(ISBLANK('Data Entry'!D53),"No Mailing Address Listed",'Data Entry'!D53&amp;"
"&amp;'Data Entry'!D54&amp;", "&amp;'Data Entry'!D55&amp;" "&amp;'Data Entry'!D56)</f>
        <v>No Mailing Address Listed</v>
      </c>
    </row>
    <row r="22" spans="1:9">
      <c r="B22" s="4"/>
      <c r="C22" s="12"/>
      <c r="D22" s="7" t="str">
        <f>'Data Entry'!D44</f>
        <v>1 801-541-0279</v>
      </c>
      <c r="E22" s="7"/>
      <c r="F22" s="2" t="s">
        <v>43</v>
      </c>
      <c r="G22" s="4"/>
      <c r="H22" s="12"/>
      <c r="I22" s="54" t="str">
        <f>IF(ISBLANK('Data Entry'!D57),"No Phone Number Listed",'Data Entry'!D57)</f>
        <v>No Phone Number Listed</v>
      </c>
    </row>
    <row r="23" spans="1:9">
      <c r="B23" s="4"/>
      <c r="C23" s="12"/>
      <c r="D23" s="7" t="str">
        <f>'Data Entry'!D43</f>
        <v>jeffyoung@allwest.net</v>
      </c>
      <c r="E23" s="7"/>
      <c r="F23" s="7"/>
    </row>
    <row r="24" spans="1:9">
      <c r="D24" s="7"/>
      <c r="E24" s="7"/>
      <c r="F24" s="7"/>
    </row>
    <row r="25" spans="1:9">
      <c r="A25" s="3" t="s">
        <v>12</v>
      </c>
      <c r="B25" s="4"/>
      <c r="C25" s="12"/>
      <c r="D25" s="7"/>
      <c r="E25" s="7"/>
      <c r="F25" s="7"/>
    </row>
    <row r="26" spans="1:9">
      <c r="A26" s="2" t="s">
        <v>39</v>
      </c>
      <c r="B26" s="4"/>
      <c r="C26" s="12"/>
      <c r="D26" s="65">
        <f>'Data Entry'!D60</f>
        <v>70</v>
      </c>
    </row>
    <row r="27" spans="1:9">
      <c r="A27" s="2" t="s">
        <v>40</v>
      </c>
      <c r="B27" s="4"/>
      <c r="C27" s="12"/>
      <c r="D27" s="65">
        <f>'Data Entry'!D61</f>
        <v>195</v>
      </c>
    </row>
    <row r="28" spans="1:9">
      <c r="A28" s="2" t="s">
        <v>13</v>
      </c>
      <c r="B28" s="4"/>
      <c r="C28" s="12"/>
      <c r="D28" s="5" t="str">
        <f>'Data Entry'!D62</f>
        <v>None</v>
      </c>
    </row>
    <row r="29" spans="1:9" ht="27.75" customHeight="1">
      <c r="A29" s="57" t="s">
        <v>83</v>
      </c>
      <c r="B29" s="61"/>
      <c r="C29" s="12"/>
      <c r="D29" s="77" t="s">
        <v>114</v>
      </c>
      <c r="E29" s="77"/>
      <c r="F29" s="77"/>
      <c r="G29" s="77"/>
      <c r="H29" s="77"/>
      <c r="I29" s="77"/>
    </row>
    <row r="30" spans="1:9" ht="12.75" customHeight="1">
      <c r="A30" s="57"/>
      <c r="B30" s="61"/>
      <c r="C30" s="12"/>
      <c r="D30" s="5" t="s">
        <v>115</v>
      </c>
    </row>
    <row r="31" spans="1:9">
      <c r="A31" s="57" t="s">
        <v>82</v>
      </c>
      <c r="B31" s="61"/>
      <c r="C31" s="12"/>
      <c r="D31" s="5" t="s">
        <v>116</v>
      </c>
    </row>
    <row r="32" spans="1:9" ht="25.5" customHeight="1">
      <c r="A32" s="15"/>
      <c r="B32" s="61"/>
      <c r="C32" s="12"/>
    </row>
    <row r="33" spans="1:3">
      <c r="A33" s="15"/>
      <c r="B33" s="7"/>
      <c r="C33" s="7"/>
    </row>
    <row r="34" spans="1:3">
      <c r="A34" s="15"/>
      <c r="B34" s="7"/>
      <c r="C34" s="7"/>
    </row>
    <row r="35" spans="1:3">
      <c r="A35" s="15"/>
      <c r="B35" s="7"/>
      <c r="C35" s="7"/>
    </row>
    <row r="36" spans="1:3">
      <c r="A36" s="15"/>
      <c r="B36" s="7"/>
      <c r="C36" s="7"/>
    </row>
    <row r="37" spans="1:3">
      <c r="A37" s="15"/>
      <c r="B37" s="7"/>
      <c r="C37" s="7"/>
    </row>
    <row r="38" spans="1:3">
      <c r="A38" s="15"/>
      <c r="B38" s="7"/>
      <c r="C38" s="7"/>
    </row>
    <row r="39" spans="1:3">
      <c r="A39" s="15"/>
      <c r="B39" s="7"/>
      <c r="C39" s="7"/>
    </row>
    <row r="40" spans="1:3">
      <c r="A40" s="15"/>
      <c r="B40" s="7"/>
      <c r="C40" s="7"/>
    </row>
    <row r="41" spans="1:3">
      <c r="A41" s="15"/>
      <c r="B41" s="7"/>
      <c r="C41" s="7"/>
    </row>
    <row r="42" spans="1:3">
      <c r="A42" s="15"/>
      <c r="B42" s="7"/>
      <c r="C42" s="7"/>
    </row>
    <row r="43" spans="1:3">
      <c r="A43" s="15"/>
      <c r="B43" s="7"/>
      <c r="C43" s="7"/>
    </row>
    <row r="44" spans="1:3">
      <c r="A44" s="15"/>
      <c r="B44" s="7"/>
      <c r="C44" s="7"/>
    </row>
    <row r="45" spans="1:3">
      <c r="A45" s="15"/>
      <c r="B45" s="7"/>
      <c r="C45" s="7"/>
    </row>
    <row r="46" spans="1:3">
      <c r="A46" s="15"/>
      <c r="B46" s="7"/>
      <c r="C46" s="7"/>
    </row>
    <row r="47" spans="1:3">
      <c r="A47" s="15"/>
      <c r="B47" s="7"/>
      <c r="C47" s="7"/>
    </row>
    <row r="48" spans="1:3">
      <c r="A48" s="15"/>
      <c r="B48" s="7"/>
      <c r="C48" s="7"/>
    </row>
    <row r="49" spans="1:3">
      <c r="A49" s="15"/>
      <c r="B49" s="7"/>
      <c r="C49" s="7"/>
    </row>
    <row r="50" spans="1:3">
      <c r="A50" s="15"/>
      <c r="B50" s="7"/>
      <c r="C50" s="7"/>
    </row>
    <row r="51" spans="1:3">
      <c r="A51" s="15"/>
      <c r="B51" s="7"/>
      <c r="C51" s="7"/>
    </row>
    <row r="52" spans="1:3">
      <c r="A52" s="15"/>
      <c r="B52" s="7"/>
      <c r="C52" s="7"/>
    </row>
    <row r="53" spans="1:3">
      <c r="A53" s="15"/>
      <c r="B53" s="7"/>
      <c r="C53" s="7"/>
    </row>
    <row r="54" spans="1:3">
      <c r="A54" s="15"/>
      <c r="B54" s="7"/>
      <c r="C54" s="7"/>
    </row>
    <row r="55" spans="1:3">
      <c r="A55" s="15"/>
      <c r="B55" s="7"/>
      <c r="C55" s="7"/>
    </row>
    <row r="56" spans="1:3">
      <c r="A56" s="15"/>
      <c r="B56" s="7"/>
      <c r="C56" s="7"/>
    </row>
    <row r="57" spans="1:3">
      <c r="A57" s="15"/>
      <c r="B57" s="7"/>
      <c r="C57" s="7"/>
    </row>
    <row r="58" spans="1:3">
      <c r="A58" s="15"/>
      <c r="B58" s="7"/>
      <c r="C58" s="7"/>
    </row>
    <row r="59" spans="1:3">
      <c r="A59" s="15"/>
      <c r="B59" s="7"/>
      <c r="C59" s="7"/>
    </row>
    <row r="60" spans="1:3">
      <c r="A60" s="15"/>
      <c r="B60" s="7"/>
      <c r="C60" s="7"/>
    </row>
    <row r="61" spans="1:3">
      <c r="A61" s="15"/>
      <c r="B61" s="7"/>
      <c r="C61" s="7"/>
    </row>
    <row r="62" spans="1:3">
      <c r="A62" s="15"/>
      <c r="B62" s="7"/>
      <c r="C62" s="7"/>
    </row>
    <row r="63" spans="1:3">
      <c r="A63" s="15"/>
      <c r="B63" s="7"/>
      <c r="C63" s="7"/>
    </row>
    <row r="64" spans="1:3">
      <c r="A64" s="15"/>
      <c r="B64" s="7"/>
      <c r="C64" s="7"/>
    </row>
    <row r="65" spans="1:3">
      <c r="A65" s="15"/>
      <c r="B65" s="7"/>
      <c r="C65" s="7"/>
    </row>
    <row r="66" spans="1:3">
      <c r="A66" s="15"/>
      <c r="B66" s="7"/>
      <c r="C66" s="7"/>
    </row>
    <row r="67" spans="1:3">
      <c r="A67" s="15"/>
      <c r="B67" s="7"/>
      <c r="C67" s="7"/>
    </row>
    <row r="68" spans="1:3">
      <c r="A68" s="15"/>
      <c r="B68" s="7"/>
      <c r="C68" s="7"/>
    </row>
    <row r="69" spans="1:3">
      <c r="A69" s="15"/>
      <c r="B69" s="7"/>
      <c r="C69" s="7"/>
    </row>
    <row r="70" spans="1:3">
      <c r="A70" s="15"/>
      <c r="B70" s="7"/>
      <c r="C70" s="7"/>
    </row>
    <row r="71" spans="1:3">
      <c r="A71" s="15"/>
      <c r="B71" s="7"/>
      <c r="C71" s="7"/>
    </row>
    <row r="72" spans="1:3">
      <c r="A72" s="15"/>
      <c r="B72" s="7"/>
      <c r="C72" s="7"/>
    </row>
  </sheetData>
  <mergeCells count="1">
    <mergeCell ref="D29:I29"/>
  </mergeCells>
  <pageMargins left="0.7" right="0.7" top="0.75" bottom="0.75" header="0.3" footer="0.3"/>
  <pageSetup orientation="portrait" r:id="rId1"/>
  <headerFooter>
    <oddHeader>&amp;C&amp;"Arial,Bold"&amp;12SEPT 9 ARRIVAL&amp;RMedical Sheet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H200"/>
  <sheetViews>
    <sheetView zoomScaleNormal="100" workbookViewId="0">
      <selection activeCell="E8" sqref="E8"/>
    </sheetView>
  </sheetViews>
  <sheetFormatPr defaultColWidth="9.140625" defaultRowHeight="15"/>
  <cols>
    <col min="1" max="1" width="32.28515625" style="31" bestFit="1" customWidth="1"/>
    <col min="2" max="3" width="0.7109375" style="31" customWidth="1"/>
    <col min="4" max="4" width="33.5703125" style="29" bestFit="1" customWidth="1"/>
    <col min="5" max="5" width="23.42578125" style="29" customWidth="1"/>
    <col min="6" max="6" width="4.85546875" style="29" customWidth="1"/>
    <col min="7" max="7" width="9.140625" style="29" customWidth="1"/>
    <col min="8" max="8" width="10.85546875" style="29" customWidth="1"/>
    <col min="9" max="16384" width="9.140625" style="29"/>
  </cols>
  <sheetData>
    <row r="1" spans="1:7">
      <c r="A1" s="27"/>
      <c r="B1" s="59"/>
      <c r="C1" s="28"/>
      <c r="E1" s="30"/>
      <c r="F1" s="30"/>
    </row>
    <row r="2" spans="1:7">
      <c r="A2" s="31" t="s">
        <v>31</v>
      </c>
      <c r="B2" s="59"/>
      <c r="C2" s="28"/>
      <c r="D2" s="75" t="s">
        <v>110</v>
      </c>
      <c r="E2" s="33"/>
      <c r="F2" s="30"/>
    </row>
    <row r="3" spans="1:7">
      <c r="A3" s="31" t="s">
        <v>3</v>
      </c>
      <c r="B3" s="59"/>
      <c r="C3" s="28"/>
      <c r="D3" s="32">
        <v>37084</v>
      </c>
      <c r="E3" s="33"/>
      <c r="F3" s="30"/>
    </row>
    <row r="4" spans="1:7" ht="23.25">
      <c r="A4" s="31" t="s">
        <v>44</v>
      </c>
      <c r="B4" s="59"/>
      <c r="C4" s="28"/>
      <c r="D4" s="79">
        <v>834169</v>
      </c>
      <c r="E4" s="30"/>
      <c r="F4" s="30"/>
    </row>
    <row r="5" spans="1:7">
      <c r="A5" s="31" t="s">
        <v>45</v>
      </c>
      <c r="B5" s="59"/>
      <c r="C5" s="28"/>
      <c r="D5" s="49" t="s">
        <v>85</v>
      </c>
      <c r="E5" s="30"/>
      <c r="F5" s="30"/>
    </row>
    <row r="6" spans="1:7" ht="15.75">
      <c r="A6" s="31" t="s">
        <v>46</v>
      </c>
      <c r="B6" s="59"/>
      <c r="C6" s="28"/>
      <c r="D6" s="80">
        <v>2426067</v>
      </c>
      <c r="E6" s="30"/>
      <c r="F6" s="30"/>
    </row>
    <row r="7" spans="1:7">
      <c r="A7" s="31" t="s">
        <v>47</v>
      </c>
      <c r="B7" s="59"/>
      <c r="C7" s="28"/>
      <c r="D7" s="35">
        <v>44062</v>
      </c>
      <c r="E7" s="30"/>
      <c r="F7" s="30"/>
    </row>
    <row r="8" spans="1:7">
      <c r="A8" s="36" t="s">
        <v>4</v>
      </c>
      <c r="B8" s="60"/>
      <c r="C8" s="37"/>
      <c r="D8" s="38">
        <v>44083</v>
      </c>
      <c r="E8" s="33"/>
      <c r="F8" s="30"/>
      <c r="G8" s="26"/>
    </row>
    <row r="9" spans="1:7">
      <c r="A9" s="36" t="s">
        <v>30</v>
      </c>
      <c r="B9" s="60"/>
      <c r="C9" s="37"/>
      <c r="D9" s="64">
        <v>44629</v>
      </c>
      <c r="E9" s="30"/>
      <c r="F9" s="30"/>
    </row>
    <row r="10" spans="1:7">
      <c r="A10" s="39"/>
      <c r="E10" s="30"/>
      <c r="F10" s="30"/>
    </row>
    <row r="11" spans="1:7">
      <c r="A11" s="27"/>
      <c r="B11" s="59"/>
      <c r="C11" s="28"/>
    </row>
    <row r="12" spans="1:7">
      <c r="A12" s="31" t="s">
        <v>0</v>
      </c>
      <c r="B12" s="59"/>
      <c r="C12" s="28"/>
      <c r="D12" s="40" t="s">
        <v>86</v>
      </c>
      <c r="E12" s="40"/>
      <c r="F12" s="30"/>
    </row>
    <row r="13" spans="1:7">
      <c r="A13" s="31" t="s">
        <v>48</v>
      </c>
      <c r="B13" s="59"/>
      <c r="C13" s="28"/>
      <c r="D13" s="34" t="s">
        <v>87</v>
      </c>
      <c r="E13" s="33"/>
      <c r="F13" s="30"/>
    </row>
    <row r="14" spans="1:7">
      <c r="A14" s="31" t="s">
        <v>49</v>
      </c>
      <c r="B14" s="59"/>
      <c r="C14" s="28"/>
      <c r="D14" s="53" t="s">
        <v>88</v>
      </c>
      <c r="E14" s="33"/>
      <c r="F14" s="30"/>
    </row>
    <row r="15" spans="1:7">
      <c r="A15" s="31" t="s">
        <v>2</v>
      </c>
      <c r="B15" s="59"/>
      <c r="C15" s="28"/>
      <c r="D15" s="63">
        <f>DATEDIF(D3,D8,"Y")</f>
        <v>19</v>
      </c>
      <c r="E15" s="30"/>
      <c r="F15" s="30"/>
    </row>
    <row r="16" spans="1:7">
      <c r="A16" s="31" t="s">
        <v>50</v>
      </c>
      <c r="B16" s="59"/>
      <c r="C16" s="28"/>
      <c r="D16" s="30" t="s">
        <v>5</v>
      </c>
    </row>
    <row r="17" spans="1:6">
      <c r="C17" s="28"/>
      <c r="D17" s="30"/>
    </row>
    <row r="18" spans="1:6">
      <c r="A18" s="27"/>
      <c r="B18" s="59"/>
      <c r="C18" s="28"/>
      <c r="E18" s="30"/>
      <c r="F18" s="30"/>
    </row>
    <row r="19" spans="1:6" ht="15" customHeight="1">
      <c r="A19" s="31" t="s">
        <v>76</v>
      </c>
      <c r="B19" s="59"/>
      <c r="C19" s="28"/>
      <c r="D19" s="44" t="s">
        <v>23</v>
      </c>
      <c r="E19" s="42" t="s">
        <v>24</v>
      </c>
      <c r="F19" s="30"/>
    </row>
    <row r="20" spans="1:6">
      <c r="A20" s="31" t="s">
        <v>77</v>
      </c>
      <c r="B20" s="59"/>
      <c r="C20" s="28"/>
      <c r="D20" s="68" t="s">
        <v>111</v>
      </c>
      <c r="E20" s="42" t="s">
        <v>89</v>
      </c>
      <c r="F20" s="30"/>
    </row>
    <row r="21" spans="1:6" ht="30">
      <c r="A21" s="31" t="s">
        <v>78</v>
      </c>
      <c r="B21" s="59"/>
      <c r="C21" s="28"/>
      <c r="D21" s="73" t="s">
        <v>90</v>
      </c>
      <c r="E21" s="41" t="s">
        <v>90</v>
      </c>
      <c r="F21" s="30"/>
    </row>
    <row r="22" spans="1:6">
      <c r="A22" s="31" t="s">
        <v>79</v>
      </c>
      <c r="B22" s="59"/>
      <c r="C22" s="28"/>
      <c r="D22" s="43"/>
      <c r="E22" s="41"/>
      <c r="F22" s="30"/>
    </row>
    <row r="23" spans="1:6">
      <c r="A23" s="31" t="s">
        <v>80</v>
      </c>
      <c r="B23" s="59"/>
      <c r="C23" s="28"/>
      <c r="D23" s="55" t="s">
        <v>91</v>
      </c>
      <c r="E23" s="44" t="s">
        <v>92</v>
      </c>
      <c r="F23" s="30"/>
    </row>
    <row r="24" spans="1:6">
      <c r="A24" s="31" t="s">
        <v>81</v>
      </c>
      <c r="B24" s="59"/>
      <c r="C24" s="28"/>
      <c r="D24" s="44"/>
      <c r="E24" s="45"/>
      <c r="F24" s="30"/>
    </row>
    <row r="25" spans="1:6">
      <c r="D25" s="44"/>
      <c r="E25" s="44"/>
      <c r="F25" s="30"/>
    </row>
    <row r="26" spans="1:6">
      <c r="A26" s="27"/>
      <c r="B26" s="59"/>
      <c r="C26" s="28"/>
    </row>
    <row r="27" spans="1:6">
      <c r="A27" s="31" t="s">
        <v>71</v>
      </c>
      <c r="B27" s="59"/>
      <c r="C27" s="28"/>
      <c r="D27" s="29" t="s">
        <v>112</v>
      </c>
    </row>
    <row r="28" spans="1:6">
      <c r="A28" s="31" t="s">
        <v>51</v>
      </c>
      <c r="B28" s="59"/>
      <c r="C28" s="28"/>
      <c r="D28" s="34">
        <v>4</v>
      </c>
    </row>
    <row r="29" spans="1:6">
      <c r="A29" s="31" t="s">
        <v>16</v>
      </c>
      <c r="B29" s="59"/>
      <c r="C29" s="28"/>
      <c r="D29" s="29" t="s">
        <v>93</v>
      </c>
    </row>
    <row r="30" spans="1:6">
      <c r="A30" s="31" t="s">
        <v>52</v>
      </c>
      <c r="B30" s="59"/>
      <c r="C30" s="28"/>
      <c r="D30" s="29" t="s">
        <v>94</v>
      </c>
    </row>
    <row r="31" spans="1:6" ht="15" customHeight="1">
      <c r="A31" s="31" t="s">
        <v>18</v>
      </c>
      <c r="B31" s="59"/>
      <c r="C31" s="28"/>
      <c r="D31" s="29" t="s">
        <v>95</v>
      </c>
    </row>
    <row r="32" spans="1:6" ht="15" customHeight="1">
      <c r="A32" s="31" t="s">
        <v>20</v>
      </c>
      <c r="B32" s="59"/>
      <c r="C32" s="28"/>
      <c r="D32" s="29" t="s">
        <v>96</v>
      </c>
    </row>
    <row r="33" spans="1:8">
      <c r="A33" s="31" t="s">
        <v>53</v>
      </c>
      <c r="B33" s="59"/>
      <c r="C33" s="28"/>
      <c r="D33" s="29" t="s">
        <v>84</v>
      </c>
    </row>
    <row r="34" spans="1:8">
      <c r="D34" s="30"/>
      <c r="E34" s="30"/>
      <c r="F34" s="30"/>
    </row>
    <row r="35" spans="1:8">
      <c r="A35" s="27"/>
      <c r="B35" s="59"/>
      <c r="C35" s="28"/>
      <c r="D35" s="30"/>
      <c r="E35" s="30"/>
      <c r="F35" s="30"/>
    </row>
    <row r="36" spans="1:8">
      <c r="A36" s="31" t="s">
        <v>54</v>
      </c>
      <c r="B36" s="59"/>
      <c r="C36" s="28"/>
      <c r="D36" s="69" t="s">
        <v>97</v>
      </c>
      <c r="E36" s="30"/>
      <c r="F36" s="30"/>
    </row>
    <row r="37" spans="1:8">
      <c r="A37" s="31" t="s">
        <v>55</v>
      </c>
      <c r="B37" s="59"/>
      <c r="C37" s="28"/>
      <c r="D37" s="30" t="s">
        <v>98</v>
      </c>
      <c r="E37" s="30"/>
      <c r="F37" s="30"/>
    </row>
    <row r="38" spans="1:8">
      <c r="A38" s="31" t="s">
        <v>72</v>
      </c>
      <c r="B38" s="59"/>
      <c r="C38" s="28"/>
      <c r="D38" s="70" t="s">
        <v>99</v>
      </c>
      <c r="E38" s="30"/>
      <c r="F38" s="30"/>
    </row>
    <row r="39" spans="1:8">
      <c r="A39" s="31" t="s">
        <v>56</v>
      </c>
      <c r="B39" s="59"/>
      <c r="C39" s="28"/>
      <c r="D39" s="72" t="s">
        <v>100</v>
      </c>
      <c r="E39" s="30"/>
      <c r="F39" s="30"/>
    </row>
    <row r="40" spans="1:8" ht="15" customHeight="1">
      <c r="A40" s="58" t="s">
        <v>57</v>
      </c>
      <c r="B40" s="59"/>
      <c r="C40" s="28"/>
      <c r="D40" s="30" t="s">
        <v>101</v>
      </c>
      <c r="E40" s="46"/>
      <c r="F40" s="46"/>
      <c r="G40" s="46"/>
      <c r="H40" s="46"/>
    </row>
    <row r="41" spans="1:8">
      <c r="A41" s="31" t="s">
        <v>58</v>
      </c>
      <c r="B41" s="59"/>
      <c r="C41" s="28"/>
      <c r="D41" s="69" t="s">
        <v>102</v>
      </c>
      <c r="E41" s="48"/>
      <c r="F41" s="48"/>
      <c r="G41" s="48"/>
      <c r="H41" s="48"/>
    </row>
    <row r="42" spans="1:8">
      <c r="A42" s="31" t="s">
        <v>59</v>
      </c>
      <c r="B42" s="59"/>
      <c r="C42" s="28"/>
      <c r="D42" s="30" t="s">
        <v>103</v>
      </c>
      <c r="E42" s="30"/>
      <c r="F42" s="30"/>
    </row>
    <row r="43" spans="1:8">
      <c r="A43" s="31" t="s">
        <v>60</v>
      </c>
      <c r="B43" s="59"/>
      <c r="C43" s="28"/>
      <c r="D43" s="70" t="s">
        <v>104</v>
      </c>
      <c r="E43" s="30"/>
      <c r="F43" s="30"/>
    </row>
    <row r="44" spans="1:8">
      <c r="A44" s="31" t="s">
        <v>61</v>
      </c>
      <c r="B44" s="59"/>
      <c r="C44" s="28"/>
      <c r="D44" s="47" t="s">
        <v>105</v>
      </c>
      <c r="E44" s="30"/>
      <c r="F44" s="30"/>
    </row>
    <row r="45" spans="1:8">
      <c r="A45" s="58" t="s">
        <v>73</v>
      </c>
      <c r="B45" s="59"/>
      <c r="C45" s="28"/>
      <c r="D45" s="30" t="s">
        <v>106</v>
      </c>
      <c r="E45" s="46"/>
      <c r="F45" s="46"/>
      <c r="G45" s="46"/>
      <c r="H45" s="46"/>
    </row>
    <row r="46" spans="1:8">
      <c r="D46" s="30"/>
      <c r="E46" s="30"/>
      <c r="F46" s="30"/>
    </row>
    <row r="47" spans="1:8">
      <c r="A47" s="27"/>
      <c r="B47" s="59"/>
      <c r="C47" s="28"/>
      <c r="D47" s="30"/>
      <c r="E47" s="30"/>
      <c r="F47" s="30"/>
    </row>
    <row r="48" spans="1:8">
      <c r="A48" s="31" t="s">
        <v>62</v>
      </c>
      <c r="B48" s="59"/>
      <c r="C48" s="28"/>
      <c r="D48" s="29" t="s">
        <v>107</v>
      </c>
    </row>
    <row r="49" spans="1:6">
      <c r="A49" s="31" t="s">
        <v>63</v>
      </c>
      <c r="B49" s="59"/>
      <c r="C49" s="28"/>
      <c r="D49" s="29" t="s">
        <v>108</v>
      </c>
    </row>
    <row r="50" spans="1:6">
      <c r="A50" s="31" t="s">
        <v>64</v>
      </c>
      <c r="B50" s="59"/>
      <c r="C50" s="28"/>
      <c r="D50" s="35">
        <v>25527</v>
      </c>
    </row>
    <row r="51" spans="1:6">
      <c r="A51" s="31" t="s">
        <v>65</v>
      </c>
      <c r="B51" s="59"/>
      <c r="C51" s="28"/>
      <c r="D51" s="34" t="s">
        <v>109</v>
      </c>
    </row>
    <row r="52" spans="1:6">
      <c r="A52" s="31" t="s">
        <v>66</v>
      </c>
      <c r="B52" s="59"/>
      <c r="C52" s="28"/>
      <c r="D52" s="34">
        <v>800280956</v>
      </c>
    </row>
    <row r="53" spans="1:6">
      <c r="A53" s="31" t="s">
        <v>74</v>
      </c>
      <c r="B53" s="59"/>
      <c r="C53" s="28"/>
      <c r="D53" s="69"/>
    </row>
    <row r="54" spans="1:6">
      <c r="A54" s="31" t="s">
        <v>67</v>
      </c>
      <c r="B54" s="59"/>
      <c r="C54" s="28"/>
      <c r="D54" s="69"/>
    </row>
    <row r="55" spans="1:6">
      <c r="A55" s="31" t="s">
        <v>68</v>
      </c>
      <c r="B55" s="59"/>
      <c r="C55" s="28"/>
      <c r="D55" s="69"/>
    </row>
    <row r="56" spans="1:6">
      <c r="A56" s="31" t="s">
        <v>69</v>
      </c>
      <c r="B56" s="59"/>
      <c r="C56" s="28"/>
      <c r="D56" s="74"/>
    </row>
    <row r="57" spans="1:6">
      <c r="A57" s="31" t="s">
        <v>70</v>
      </c>
      <c r="B57" s="59"/>
      <c r="C57" s="28"/>
      <c r="D57" s="53"/>
    </row>
    <row r="58" spans="1:6">
      <c r="A58" s="27"/>
      <c r="C58" s="28"/>
      <c r="D58" s="30"/>
      <c r="E58" s="30"/>
      <c r="F58" s="30"/>
    </row>
    <row r="59" spans="1:6" s="5" customFormat="1" ht="12.75">
      <c r="A59" s="3"/>
      <c r="B59" s="61"/>
      <c r="C59" s="12"/>
      <c r="D59" s="7"/>
      <c r="E59" s="7"/>
      <c r="F59" s="7"/>
    </row>
    <row r="60" spans="1:6" s="5" customFormat="1" ht="12.75">
      <c r="A60" s="2" t="s">
        <v>39</v>
      </c>
      <c r="B60" s="61"/>
      <c r="C60" s="12"/>
      <c r="D60" s="65">
        <v>70</v>
      </c>
    </row>
    <row r="61" spans="1:6" s="5" customFormat="1" ht="12.75">
      <c r="A61" s="2" t="s">
        <v>40</v>
      </c>
      <c r="B61" s="61"/>
      <c r="C61" s="12"/>
      <c r="D61" s="65">
        <v>195</v>
      </c>
    </row>
    <row r="62" spans="1:6" s="5" customFormat="1" ht="12.75">
      <c r="A62" s="2" t="s">
        <v>13</v>
      </c>
      <c r="B62" s="61"/>
      <c r="C62" s="12"/>
      <c r="D62" s="5" t="s">
        <v>113</v>
      </c>
    </row>
    <row r="63" spans="1:6" s="5" customFormat="1" ht="12.75">
      <c r="A63" s="57" t="s">
        <v>83</v>
      </c>
      <c r="B63" s="61"/>
      <c r="C63" s="12"/>
      <c r="D63" s="5" t="s">
        <v>114</v>
      </c>
    </row>
    <row r="64" spans="1:6" s="5" customFormat="1" ht="12.75">
      <c r="A64" s="57"/>
      <c r="B64" s="61"/>
      <c r="C64" s="12"/>
      <c r="D64" s="5" t="s">
        <v>115</v>
      </c>
    </row>
    <row r="65" spans="1:5" s="5" customFormat="1" ht="12.75">
      <c r="A65" s="57" t="s">
        <v>82</v>
      </c>
      <c r="B65" s="61"/>
      <c r="C65" s="12"/>
      <c r="D65" s="5" t="s">
        <v>116</v>
      </c>
      <c r="E65" s="25"/>
    </row>
    <row r="66" spans="1:5" s="5" customFormat="1" ht="12.75">
      <c r="A66" s="15"/>
      <c r="B66" s="61"/>
      <c r="C66" s="12"/>
    </row>
    <row r="67" spans="1:5" s="5" customFormat="1" ht="12.75">
      <c r="A67" s="15"/>
      <c r="B67" s="7"/>
      <c r="C67" s="7"/>
    </row>
    <row r="68" spans="1:5" s="5" customFormat="1" ht="12.75">
      <c r="A68" s="15"/>
      <c r="B68" s="7"/>
      <c r="C68" s="7"/>
      <c r="D68" s="25"/>
    </row>
    <row r="69" spans="1:5" s="5" customFormat="1" ht="12.75">
      <c r="A69" s="15"/>
      <c r="B69" s="7"/>
      <c r="C69" s="7"/>
      <c r="D69" s="25"/>
    </row>
    <row r="70" spans="1:5" s="5" customFormat="1" ht="12.75">
      <c r="A70" s="15"/>
      <c r="B70" s="7"/>
      <c r="C70" s="7"/>
    </row>
    <row r="71" spans="1:5" s="5" customFormat="1" ht="12.75">
      <c r="A71" s="15"/>
      <c r="B71" s="7"/>
      <c r="C71" s="7"/>
    </row>
    <row r="72" spans="1:5" s="5" customFormat="1" ht="12.75">
      <c r="A72" s="15"/>
      <c r="B72" s="7"/>
      <c r="C72" s="7"/>
    </row>
    <row r="73" spans="1:5" s="5" customFormat="1" ht="12.75">
      <c r="A73" s="15"/>
      <c r="B73" s="7"/>
      <c r="C73" s="7"/>
    </row>
    <row r="74" spans="1:5" s="5" customFormat="1" ht="12.75">
      <c r="A74" s="15"/>
      <c r="B74" s="7"/>
      <c r="C74" s="7"/>
    </row>
    <row r="75" spans="1:5" s="5" customFormat="1" ht="12.75">
      <c r="A75" s="15"/>
      <c r="B75" s="7"/>
      <c r="C75" s="7"/>
    </row>
    <row r="76" spans="1:5" s="5" customFormat="1" ht="12.75">
      <c r="A76" s="15"/>
      <c r="B76" s="7"/>
      <c r="C76" s="7"/>
    </row>
    <row r="77" spans="1:5" s="5" customFormat="1" ht="12.75">
      <c r="A77" s="15"/>
      <c r="B77" s="7"/>
      <c r="C77" s="7"/>
    </row>
    <row r="78" spans="1:5" s="5" customFormat="1" ht="12.75">
      <c r="A78" s="15"/>
      <c r="B78" s="7"/>
      <c r="C78" s="7"/>
    </row>
    <row r="79" spans="1:5" s="5" customFormat="1" ht="12.75">
      <c r="A79" s="15"/>
      <c r="B79" s="7"/>
      <c r="C79" s="7"/>
    </row>
    <row r="80" spans="1:5" s="5" customFormat="1" ht="12.75">
      <c r="A80" s="15"/>
      <c r="B80" s="7"/>
      <c r="C80" s="7"/>
    </row>
    <row r="81" spans="1:3" s="5" customFormat="1" ht="12.75">
      <c r="A81" s="15"/>
      <c r="B81" s="7"/>
      <c r="C81" s="7"/>
    </row>
    <row r="82" spans="1:3" s="5" customFormat="1" ht="12.75">
      <c r="A82" s="15"/>
      <c r="B82" s="7"/>
      <c r="C82" s="7"/>
    </row>
    <row r="83" spans="1:3" s="5" customFormat="1" ht="12.75">
      <c r="A83" s="15"/>
      <c r="B83" s="7"/>
      <c r="C83" s="7"/>
    </row>
    <row r="84" spans="1:3" s="5" customFormat="1" ht="12.75">
      <c r="A84" s="15"/>
      <c r="B84" s="7"/>
      <c r="C84" s="7"/>
    </row>
    <row r="85" spans="1:3" s="5" customFormat="1" ht="12.75">
      <c r="A85" s="15"/>
      <c r="B85" s="7"/>
      <c r="C85" s="7"/>
    </row>
    <row r="86" spans="1:3" s="5" customFormat="1" ht="12.75">
      <c r="A86" s="15"/>
      <c r="B86" s="7"/>
      <c r="C86" s="7"/>
    </row>
    <row r="87" spans="1:3" s="5" customFormat="1" ht="12.75">
      <c r="A87" s="15"/>
      <c r="B87" s="7"/>
      <c r="C87" s="7"/>
    </row>
    <row r="88" spans="1:3" s="5" customFormat="1" ht="12.75">
      <c r="A88" s="15"/>
      <c r="B88" s="7"/>
      <c r="C88" s="7"/>
    </row>
    <row r="89" spans="1:3" s="5" customFormat="1" ht="12.75">
      <c r="A89" s="15"/>
      <c r="B89" s="7"/>
      <c r="C89" s="7"/>
    </row>
    <row r="90" spans="1:3" s="5" customFormat="1" ht="12.75">
      <c r="A90" s="15"/>
      <c r="B90" s="7"/>
      <c r="C90" s="7"/>
    </row>
    <row r="91" spans="1:3" s="5" customFormat="1" ht="12.75">
      <c r="A91" s="15"/>
      <c r="B91" s="7"/>
      <c r="C91" s="7"/>
    </row>
    <row r="92" spans="1:3" s="5" customFormat="1" ht="12.75">
      <c r="A92" s="15"/>
      <c r="B92" s="7"/>
      <c r="C92" s="7"/>
    </row>
    <row r="93" spans="1:3" s="5" customFormat="1" ht="12.75">
      <c r="A93" s="15"/>
      <c r="B93" s="7"/>
      <c r="C93" s="7"/>
    </row>
    <row r="94" spans="1:3" s="5" customFormat="1" ht="12.75">
      <c r="A94" s="15"/>
      <c r="B94" s="7"/>
      <c r="C94" s="7"/>
    </row>
    <row r="95" spans="1:3" s="5" customFormat="1" ht="12.75">
      <c r="A95" s="15"/>
      <c r="B95" s="7"/>
      <c r="C95" s="7"/>
    </row>
    <row r="96" spans="1:3" s="5" customFormat="1" ht="12.75">
      <c r="A96" s="15"/>
      <c r="B96" s="7"/>
      <c r="C96" s="7"/>
    </row>
    <row r="97" spans="1:3" s="5" customFormat="1" ht="12.75">
      <c r="A97" s="15"/>
      <c r="B97" s="7"/>
      <c r="C97" s="7"/>
    </row>
    <row r="98" spans="1:3" s="5" customFormat="1" ht="12.75">
      <c r="A98" s="15"/>
      <c r="B98" s="7"/>
      <c r="C98" s="7"/>
    </row>
    <row r="99" spans="1:3" s="5" customFormat="1" ht="12.75">
      <c r="A99" s="15"/>
      <c r="B99" s="7"/>
      <c r="C99" s="7"/>
    </row>
    <row r="100" spans="1:3" s="5" customFormat="1" ht="12.75">
      <c r="A100" s="15"/>
      <c r="B100" s="7"/>
      <c r="C100" s="7"/>
    </row>
    <row r="101" spans="1:3" s="5" customFormat="1" ht="12.75">
      <c r="A101" s="15"/>
      <c r="B101" s="7"/>
      <c r="C101" s="7"/>
    </row>
    <row r="102" spans="1:3" s="5" customFormat="1" ht="12.75">
      <c r="A102" s="15"/>
      <c r="B102" s="7"/>
      <c r="C102" s="7"/>
    </row>
    <row r="103" spans="1:3" s="5" customFormat="1" ht="12.75">
      <c r="A103" s="15"/>
      <c r="B103" s="7"/>
      <c r="C103" s="7"/>
    </row>
    <row r="104" spans="1:3" s="5" customFormat="1" ht="12.75">
      <c r="A104" s="15"/>
      <c r="B104" s="7"/>
      <c r="C104" s="7"/>
    </row>
    <row r="105" spans="1:3" s="5" customFormat="1" ht="12.75">
      <c r="A105" s="15"/>
      <c r="B105" s="7"/>
      <c r="C105" s="7"/>
    </row>
    <row r="106" spans="1:3" s="5" customFormat="1" ht="12.75">
      <c r="A106" s="15"/>
      <c r="B106" s="7"/>
      <c r="C106" s="7"/>
    </row>
    <row r="107" spans="1:3" s="5" customFormat="1" ht="12.75">
      <c r="A107" s="15"/>
      <c r="B107" s="7"/>
      <c r="C107" s="7"/>
    </row>
    <row r="108" spans="1:3" s="5" customFormat="1" ht="12.75">
      <c r="A108" s="15"/>
      <c r="B108" s="7"/>
      <c r="C108" s="7"/>
    </row>
    <row r="109" spans="1:3" s="5" customFormat="1" ht="12.75">
      <c r="A109" s="15"/>
      <c r="B109" s="7"/>
      <c r="C109" s="7"/>
    </row>
    <row r="110" spans="1:3" s="5" customFormat="1" ht="12.75">
      <c r="A110" s="15"/>
      <c r="B110" s="7"/>
      <c r="C110" s="7"/>
    </row>
    <row r="111" spans="1:3" s="5" customFormat="1" ht="12.75">
      <c r="A111" s="15"/>
      <c r="B111" s="7"/>
      <c r="C111" s="7"/>
    </row>
    <row r="112" spans="1:3" s="5" customFormat="1" ht="12.75">
      <c r="A112" s="15"/>
      <c r="B112" s="7"/>
      <c r="C112" s="7"/>
    </row>
    <row r="113" spans="1:3" s="5" customFormat="1" ht="12.75">
      <c r="A113" s="15"/>
      <c r="B113" s="7"/>
      <c r="C113" s="7"/>
    </row>
    <row r="114" spans="1:3" s="5" customFormat="1" ht="12.75">
      <c r="A114" s="15"/>
      <c r="B114" s="7"/>
      <c r="C114" s="7"/>
    </row>
    <row r="115" spans="1:3" s="5" customFormat="1" ht="12.75">
      <c r="A115" s="15"/>
      <c r="B115" s="7"/>
      <c r="C115" s="7"/>
    </row>
    <row r="116" spans="1:3" s="5" customFormat="1" ht="12.75">
      <c r="A116" s="15"/>
      <c r="B116" s="7"/>
      <c r="C116" s="7"/>
    </row>
    <row r="117" spans="1:3" s="5" customFormat="1" ht="12.75">
      <c r="A117" s="15"/>
      <c r="B117" s="7"/>
      <c r="C117" s="7"/>
    </row>
    <row r="118" spans="1:3" s="5" customFormat="1" ht="12.75">
      <c r="A118" s="15"/>
      <c r="B118" s="7"/>
      <c r="C118" s="7"/>
    </row>
    <row r="119" spans="1:3" s="5" customFormat="1" ht="12.75">
      <c r="A119" s="15"/>
      <c r="B119" s="7"/>
      <c r="C119" s="7"/>
    </row>
    <row r="120" spans="1:3" s="5" customFormat="1" ht="12.75">
      <c r="A120" s="15"/>
      <c r="B120" s="7"/>
      <c r="C120" s="7"/>
    </row>
    <row r="121" spans="1:3" s="5" customFormat="1" ht="12.75">
      <c r="A121" s="15"/>
      <c r="B121" s="7"/>
      <c r="C121" s="7"/>
    </row>
    <row r="122" spans="1:3" s="5" customFormat="1" ht="12.75">
      <c r="A122" s="15"/>
      <c r="B122" s="7"/>
      <c r="C122" s="7"/>
    </row>
    <row r="123" spans="1:3" s="5" customFormat="1" ht="12.75">
      <c r="A123" s="15"/>
      <c r="B123" s="7"/>
      <c r="C123" s="7"/>
    </row>
    <row r="124" spans="1:3" s="5" customFormat="1" ht="12.75">
      <c r="A124" s="15"/>
      <c r="B124" s="7"/>
      <c r="C124" s="7"/>
    </row>
    <row r="125" spans="1:3" s="5" customFormat="1" ht="12.75">
      <c r="A125" s="15"/>
      <c r="B125" s="7"/>
      <c r="C125" s="7"/>
    </row>
    <row r="126" spans="1:3" s="5" customFormat="1" ht="12.75">
      <c r="A126" s="15"/>
      <c r="B126" s="7"/>
      <c r="C126" s="7"/>
    </row>
    <row r="127" spans="1:3" s="5" customFormat="1" ht="12.75">
      <c r="A127" s="15"/>
      <c r="B127" s="7"/>
      <c r="C127" s="7"/>
    </row>
    <row r="128" spans="1:3" s="5" customFormat="1" ht="12.75">
      <c r="A128" s="15"/>
      <c r="B128" s="7"/>
      <c r="C128" s="7"/>
    </row>
    <row r="129" spans="1:3" s="5" customFormat="1" ht="12.75">
      <c r="A129" s="15"/>
      <c r="B129" s="7"/>
      <c r="C129" s="7"/>
    </row>
    <row r="130" spans="1:3" s="5" customFormat="1" ht="12.75">
      <c r="A130" s="15"/>
      <c r="B130" s="7"/>
      <c r="C130" s="7"/>
    </row>
    <row r="131" spans="1:3" s="5" customFormat="1" ht="12.75">
      <c r="A131" s="15"/>
      <c r="B131" s="7"/>
      <c r="C131" s="7"/>
    </row>
    <row r="132" spans="1:3" s="5" customFormat="1" ht="12.75">
      <c r="A132" s="15"/>
      <c r="B132" s="7"/>
      <c r="C132" s="7"/>
    </row>
    <row r="133" spans="1:3" s="5" customFormat="1" ht="12.75">
      <c r="A133" s="15"/>
      <c r="B133" s="7"/>
      <c r="C133" s="7"/>
    </row>
    <row r="134" spans="1:3" s="5" customFormat="1" ht="12.75">
      <c r="A134" s="15"/>
      <c r="B134" s="7"/>
      <c r="C134" s="7"/>
    </row>
    <row r="135" spans="1:3" s="5" customFormat="1" ht="12.75">
      <c r="A135" s="15"/>
      <c r="B135" s="7"/>
      <c r="C135" s="7"/>
    </row>
    <row r="136" spans="1:3" s="5" customFormat="1" ht="12.75">
      <c r="A136" s="15"/>
      <c r="B136" s="7"/>
      <c r="C136" s="7"/>
    </row>
    <row r="137" spans="1:3" s="5" customFormat="1" ht="12.75">
      <c r="A137" s="15"/>
      <c r="B137" s="7"/>
      <c r="C137" s="7"/>
    </row>
    <row r="138" spans="1:3" s="5" customFormat="1" ht="12.75">
      <c r="A138" s="15"/>
      <c r="B138" s="7"/>
      <c r="C138" s="7"/>
    </row>
    <row r="139" spans="1:3" s="5" customFormat="1" ht="12.75">
      <c r="A139" s="15"/>
      <c r="B139" s="7"/>
      <c r="C139" s="7"/>
    </row>
    <row r="140" spans="1:3" s="5" customFormat="1" ht="12.75">
      <c r="A140" s="15"/>
      <c r="B140" s="7"/>
      <c r="C140" s="7"/>
    </row>
    <row r="141" spans="1:3" s="5" customFormat="1" ht="12.75">
      <c r="A141" s="15"/>
      <c r="B141" s="7"/>
      <c r="C141" s="7"/>
    </row>
    <row r="142" spans="1:3" s="5" customFormat="1" ht="12.75">
      <c r="A142" s="15"/>
      <c r="B142" s="7"/>
      <c r="C142" s="7"/>
    </row>
    <row r="143" spans="1:3" s="5" customFormat="1" ht="12.75">
      <c r="A143" s="15"/>
      <c r="B143" s="7"/>
      <c r="C143" s="7"/>
    </row>
    <row r="144" spans="1:3" s="5" customFormat="1" ht="12.75">
      <c r="A144" s="15"/>
      <c r="B144" s="7"/>
      <c r="C144" s="7"/>
    </row>
    <row r="145" spans="1:3" s="5" customFormat="1" ht="12.75">
      <c r="A145" s="15"/>
      <c r="B145" s="7"/>
      <c r="C145" s="7"/>
    </row>
    <row r="146" spans="1:3" s="5" customFormat="1" ht="12.75">
      <c r="A146" s="15"/>
      <c r="B146" s="7"/>
      <c r="C146" s="7"/>
    </row>
    <row r="147" spans="1:3" s="5" customFormat="1" ht="12.75">
      <c r="A147" s="15"/>
      <c r="B147" s="7"/>
      <c r="C147" s="7"/>
    </row>
    <row r="148" spans="1:3" s="5" customFormat="1" ht="12.75">
      <c r="A148" s="15"/>
      <c r="B148" s="7"/>
      <c r="C148" s="7"/>
    </row>
    <row r="149" spans="1:3" s="5" customFormat="1" ht="12.75">
      <c r="A149" s="15"/>
      <c r="B149" s="7"/>
      <c r="C149" s="7"/>
    </row>
    <row r="150" spans="1:3" s="5" customFormat="1" ht="12.75">
      <c r="A150" s="15"/>
      <c r="B150" s="7"/>
      <c r="C150" s="7"/>
    </row>
    <row r="151" spans="1:3" s="5" customFormat="1" ht="12.75">
      <c r="A151" s="15"/>
      <c r="B151" s="7"/>
      <c r="C151" s="7"/>
    </row>
    <row r="152" spans="1:3" s="5" customFormat="1" ht="12.75">
      <c r="A152" s="15"/>
      <c r="B152" s="7"/>
      <c r="C152" s="7"/>
    </row>
    <row r="153" spans="1:3" s="5" customFormat="1" ht="12.75">
      <c r="A153" s="15"/>
      <c r="B153" s="7"/>
      <c r="C153" s="7"/>
    </row>
    <row r="154" spans="1:3" s="5" customFormat="1" ht="12.75">
      <c r="A154" s="15"/>
      <c r="B154" s="7"/>
      <c r="C154" s="7"/>
    </row>
    <row r="155" spans="1:3" s="5" customFormat="1" ht="12.75">
      <c r="A155" s="15"/>
      <c r="B155" s="7"/>
      <c r="C155" s="7"/>
    </row>
    <row r="156" spans="1:3" s="5" customFormat="1" ht="12.75">
      <c r="A156" s="15"/>
      <c r="B156" s="7"/>
      <c r="C156" s="7"/>
    </row>
    <row r="157" spans="1:3" s="5" customFormat="1" ht="12.75">
      <c r="A157" s="15"/>
      <c r="B157" s="7"/>
      <c r="C157" s="7"/>
    </row>
    <row r="158" spans="1:3" s="5" customFormat="1" ht="12.75">
      <c r="A158" s="15"/>
      <c r="B158" s="7"/>
      <c r="C158" s="7"/>
    </row>
    <row r="159" spans="1:3" s="5" customFormat="1" ht="12.75">
      <c r="A159" s="15"/>
      <c r="B159" s="7"/>
      <c r="C159" s="7"/>
    </row>
    <row r="160" spans="1:3" s="5" customFormat="1" ht="12.75">
      <c r="A160" s="15"/>
      <c r="B160" s="7"/>
      <c r="C160" s="7"/>
    </row>
    <row r="161" spans="1:3" s="5" customFormat="1" ht="12.75">
      <c r="A161" s="15"/>
      <c r="B161" s="7"/>
      <c r="C161" s="7"/>
    </row>
    <row r="162" spans="1:3" s="5" customFormat="1" ht="12.75">
      <c r="A162" s="15"/>
      <c r="B162" s="7"/>
      <c r="C162" s="7"/>
    </row>
    <row r="163" spans="1:3" s="5" customFormat="1" ht="12.75">
      <c r="A163" s="15"/>
      <c r="B163" s="7"/>
      <c r="C163" s="7"/>
    </row>
    <row r="164" spans="1:3" s="5" customFormat="1" ht="12.75">
      <c r="A164" s="2"/>
      <c r="B164" s="2"/>
      <c r="C164" s="2"/>
    </row>
    <row r="165" spans="1:3" s="5" customFormat="1" ht="12.75">
      <c r="A165" s="2"/>
      <c r="B165" s="2"/>
      <c r="C165" s="2"/>
    </row>
    <row r="166" spans="1:3" s="5" customFormat="1" ht="12.75">
      <c r="A166" s="2"/>
      <c r="B166" s="2"/>
      <c r="C166" s="2"/>
    </row>
    <row r="167" spans="1:3" s="5" customFormat="1" ht="12.75">
      <c r="A167" s="2"/>
      <c r="B167" s="2"/>
      <c r="C167" s="2"/>
    </row>
    <row r="168" spans="1:3" s="5" customFormat="1" ht="12.75">
      <c r="A168" s="2"/>
      <c r="B168" s="2"/>
      <c r="C168" s="2"/>
    </row>
    <row r="169" spans="1:3" s="5" customFormat="1" ht="12.75">
      <c r="A169" s="2"/>
      <c r="B169" s="2"/>
      <c r="C169" s="2"/>
    </row>
    <row r="170" spans="1:3" s="5" customFormat="1" ht="12.75">
      <c r="A170" s="2"/>
      <c r="B170" s="2"/>
      <c r="C170" s="2"/>
    </row>
    <row r="171" spans="1:3" s="5" customFormat="1" ht="12.75">
      <c r="A171" s="2"/>
      <c r="B171" s="2"/>
      <c r="C171" s="2"/>
    </row>
    <row r="172" spans="1:3" s="5" customFormat="1" ht="12.75">
      <c r="A172" s="2"/>
      <c r="B172" s="2"/>
      <c r="C172" s="2"/>
    </row>
    <row r="173" spans="1:3" s="5" customFormat="1" ht="12.75">
      <c r="A173" s="2"/>
      <c r="B173" s="2"/>
      <c r="C173" s="2"/>
    </row>
    <row r="174" spans="1:3" s="5" customFormat="1" ht="12.75">
      <c r="A174" s="2"/>
      <c r="B174" s="2"/>
      <c r="C174" s="2"/>
    </row>
    <row r="175" spans="1:3" s="5" customFormat="1" ht="12.75">
      <c r="A175" s="2"/>
      <c r="B175" s="2"/>
      <c r="C175" s="2"/>
    </row>
    <row r="176" spans="1:3" s="5" customFormat="1" ht="12.75">
      <c r="A176" s="2"/>
      <c r="B176" s="2"/>
      <c r="C176" s="2"/>
    </row>
    <row r="177" spans="1:3" s="5" customFormat="1" ht="12.75">
      <c r="A177" s="2"/>
      <c r="B177" s="2"/>
      <c r="C177" s="2"/>
    </row>
    <row r="178" spans="1:3" s="5" customFormat="1" ht="12.75">
      <c r="A178" s="2"/>
      <c r="B178" s="2"/>
      <c r="C178" s="2"/>
    </row>
    <row r="179" spans="1:3" s="5" customFormat="1" ht="12.75">
      <c r="A179" s="2"/>
      <c r="B179" s="2"/>
      <c r="C179" s="2"/>
    </row>
    <row r="180" spans="1:3" s="5" customFormat="1" ht="12.75">
      <c r="A180" s="2"/>
      <c r="B180" s="2"/>
      <c r="C180" s="2"/>
    </row>
    <row r="181" spans="1:3" s="5" customFormat="1" ht="12.75">
      <c r="A181" s="2"/>
      <c r="B181" s="2"/>
      <c r="C181" s="2"/>
    </row>
    <row r="182" spans="1:3" s="5" customFormat="1" ht="12.75">
      <c r="A182" s="2"/>
      <c r="B182" s="2"/>
      <c r="C182" s="2"/>
    </row>
    <row r="183" spans="1:3" s="5" customFormat="1" ht="12.75">
      <c r="A183" s="2"/>
      <c r="B183" s="2"/>
      <c r="C183" s="2"/>
    </row>
    <row r="184" spans="1:3" s="5" customFormat="1" ht="12.75">
      <c r="A184" s="2"/>
      <c r="B184" s="2"/>
      <c r="C184" s="2"/>
    </row>
    <row r="185" spans="1:3" s="5" customFormat="1" ht="12.75">
      <c r="A185" s="2"/>
      <c r="B185" s="2"/>
      <c r="C185" s="2"/>
    </row>
    <row r="186" spans="1:3" s="5" customFormat="1" ht="12.75">
      <c r="A186" s="2"/>
      <c r="B186" s="2"/>
      <c r="C186" s="2"/>
    </row>
    <row r="187" spans="1:3" s="52" customFormat="1" ht="12.75">
      <c r="A187" s="51"/>
      <c r="B187" s="51"/>
      <c r="C187" s="51"/>
    </row>
    <row r="188" spans="1:3" s="52" customFormat="1" ht="12.75">
      <c r="A188" s="51"/>
      <c r="B188" s="51"/>
      <c r="C188" s="51"/>
    </row>
    <row r="189" spans="1:3" s="52" customFormat="1" ht="12.75">
      <c r="A189" s="51"/>
      <c r="B189" s="51"/>
      <c r="C189" s="51"/>
    </row>
    <row r="190" spans="1:3" s="52" customFormat="1" ht="12.75">
      <c r="A190" s="51"/>
      <c r="B190" s="51"/>
      <c r="C190" s="51"/>
    </row>
    <row r="191" spans="1:3" s="52" customFormat="1" ht="12.75">
      <c r="A191" s="51"/>
      <c r="B191" s="51"/>
      <c r="C191" s="51"/>
    </row>
    <row r="192" spans="1:3" s="52" customFormat="1" ht="12.75">
      <c r="A192" s="51"/>
      <c r="B192" s="51"/>
      <c r="C192" s="51"/>
    </row>
    <row r="193" spans="1:3" s="52" customFormat="1" ht="12.75">
      <c r="A193" s="51"/>
      <c r="B193" s="51"/>
      <c r="C193" s="51"/>
    </row>
    <row r="194" spans="1:3" s="52" customFormat="1" ht="12.75">
      <c r="A194" s="51"/>
      <c r="B194" s="51"/>
      <c r="C194" s="51"/>
    </row>
    <row r="195" spans="1:3" s="52" customFormat="1" ht="12.75">
      <c r="A195" s="51"/>
      <c r="B195" s="51"/>
      <c r="C195" s="51"/>
    </row>
    <row r="196" spans="1:3" s="52" customFormat="1" ht="12.75">
      <c r="A196" s="51"/>
      <c r="B196" s="51"/>
      <c r="C196" s="51"/>
    </row>
    <row r="197" spans="1:3" s="52" customFormat="1" ht="12.75">
      <c r="A197" s="51"/>
      <c r="B197" s="51"/>
      <c r="C197" s="51"/>
    </row>
    <row r="198" spans="1:3" s="52" customFormat="1" ht="12.75">
      <c r="A198" s="51"/>
      <c r="B198" s="51"/>
      <c r="C198" s="51"/>
    </row>
    <row r="199" spans="1:3" s="52" customFormat="1" ht="12.75">
      <c r="A199" s="51"/>
      <c r="B199" s="51"/>
      <c r="C199" s="51"/>
    </row>
    <row r="200" spans="1:3" s="52" customFormat="1" ht="12.75">
      <c r="A200" s="51"/>
      <c r="B200" s="51"/>
      <c r="C200" s="51"/>
    </row>
  </sheetData>
  <hyperlinks>
    <hyperlink ref="D38" r:id="rId1" display="matthew.poulter@linklaters.com" xr:uid="{E2539513-E2FD-46D5-AD57-51008FF74020}"/>
    <hyperlink ref="D43" r:id="rId2" display="tdherget@gmail.com" xr:uid="{9C187CA1-CA01-42E2-A6F1-6180D19DDCE6}"/>
  </hyperlinks>
  <pageMargins left="0.7" right="0.7" top="0.75" bottom="0.75" header="0.3" footer="0.3"/>
  <pageSetup orientation="portrait" r:id="rId3"/>
  <headerFooter>
    <oddHeader>&amp;C&amp;"Arial,Bold"&amp;12MARCH 2020 ARRIVALS&amp;RData Entry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President Sturm's</vt:lpstr>
      <vt:lpstr>Sister Sturm's</vt:lpstr>
      <vt:lpstr>Data Entry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2011328</dc:creator>
  <cp:lastModifiedBy>2011328</cp:lastModifiedBy>
  <cp:lastPrinted>2020-08-24T15:40:52Z</cp:lastPrinted>
  <dcterms:created xsi:type="dcterms:W3CDTF">2015-06-05T18:17:20Z</dcterms:created>
  <dcterms:modified xsi:type="dcterms:W3CDTF">2020-08-24T15:42:41Z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ef5274-90b8-4b3f-8a76-b4c36a43e904_Enabled">
    <vt:lpwstr>true</vt:lpwstr>
  </property>
  <property fmtid="{D5CDD505-2E9C-101B-9397-08002B2CF9AE}" pid="3" name="MSIP_Label_03ef5274-90b8-4b3f-8a76-b4c36a43e904_SetDate">
    <vt:lpwstr>2020-03-30T20:18:31Z</vt:lpwstr>
  </property>
  <property fmtid="{D5CDD505-2E9C-101B-9397-08002B2CF9AE}" pid="4" name="MSIP_Label_03ef5274-90b8-4b3f-8a76-b4c36a43e904_Method">
    <vt:lpwstr>Standard</vt:lpwstr>
  </property>
  <property fmtid="{D5CDD505-2E9C-101B-9397-08002B2CF9AE}" pid="5" name="MSIP_Label_03ef5274-90b8-4b3f-8a76-b4c36a43e904_Name">
    <vt:lpwstr>Not Protected_2</vt:lpwstr>
  </property>
  <property fmtid="{D5CDD505-2E9C-101B-9397-08002B2CF9AE}" pid="6" name="MSIP_Label_03ef5274-90b8-4b3f-8a76-b4c36a43e904_SiteId">
    <vt:lpwstr>61e6eeb3-5fd7-4aaa-ae3c-61e8deb09b79</vt:lpwstr>
  </property>
  <property fmtid="{D5CDD505-2E9C-101B-9397-08002B2CF9AE}" pid="7" name="MSIP_Label_03ef5274-90b8-4b3f-8a76-b4c36a43e904_ActionId">
    <vt:lpwstr>7a137549-d080-44db-a935-000076c04e01</vt:lpwstr>
  </property>
  <property fmtid="{D5CDD505-2E9C-101B-9397-08002B2CF9AE}" pid="8" name="MSIP_Label_03ef5274-90b8-4b3f-8a76-b4c36a43e904_ContentBits">
    <vt:lpwstr>0</vt:lpwstr>
  </property>
</Properties>
</file>